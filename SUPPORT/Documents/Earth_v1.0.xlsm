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Huntington_GIS_Tools\Engineering_Tools\SUPPORT\Documents\"/>
    </mc:Choice>
  </mc:AlternateContent>
  <bookViews>
    <workbookView xWindow="0" yWindow="45" windowWidth="15195" windowHeight="8445"/>
  </bookViews>
  <sheets>
    <sheet name="Ratio 3" sheetId="10" r:id="rId1"/>
    <sheet name="Width" sheetId="4" r:id="rId2"/>
    <sheet name="tile profile points" sheetId="5" r:id="rId3"/>
    <sheet name="Tile Profile" sheetId="6" r:id="rId4"/>
    <sheet name="Ridge CL points" sheetId="8" r:id="rId5"/>
    <sheet name="Ridge CL profile" sheetId="11" r:id="rId6"/>
  </sheets>
  <definedNames>
    <definedName name="_xlnm.Print_Area" localSheetId="0">'Ratio 3'!$A$1:$R$57</definedName>
    <definedName name="_xlnm.Print_Area" localSheetId="1">Width!$A$1:$R$57</definedName>
  </definedNames>
  <calcPr calcId="152511"/>
</workbook>
</file>

<file path=xl/calcChain.xml><?xml version="1.0" encoding="utf-8"?>
<calcChain xmlns="http://schemas.openxmlformats.org/spreadsheetml/2006/main">
  <c r="AP10" i="5" l="1"/>
  <c r="AP9" i="5" l="1"/>
  <c r="AP8" i="5"/>
  <c r="AP7" i="5"/>
  <c r="AP6" i="5"/>
  <c r="AP5" i="5"/>
  <c r="AP4" i="5"/>
  <c r="AP3" i="5"/>
  <c r="O48" i="10" l="1"/>
  <c r="N48" i="10"/>
  <c r="G48" i="10"/>
  <c r="H48" i="10" s="1"/>
  <c r="E48" i="10"/>
  <c r="N47" i="10"/>
  <c r="O47" i="10"/>
  <c r="G47" i="10"/>
  <c r="AA48" i="10" s="1"/>
  <c r="E47" i="10"/>
  <c r="N46" i="10"/>
  <c r="O46" i="10"/>
  <c r="G46" i="10"/>
  <c r="H46" i="10" s="1"/>
  <c r="E46" i="10"/>
  <c r="N45" i="10"/>
  <c r="O45" i="10"/>
  <c r="G45" i="10"/>
  <c r="AA46" i="10" s="1"/>
  <c r="E45" i="10"/>
  <c r="N44" i="10"/>
  <c r="O44" i="10"/>
  <c r="G44" i="10"/>
  <c r="H44" i="10" s="1"/>
  <c r="E44" i="10"/>
  <c r="N43" i="10"/>
  <c r="O43" i="10"/>
  <c r="G43" i="10"/>
  <c r="AA44" i="10" s="1"/>
  <c r="E43" i="10"/>
  <c r="O42" i="10"/>
  <c r="N42" i="10"/>
  <c r="G42" i="10"/>
  <c r="H42" i="10" s="1"/>
  <c r="E42" i="10"/>
  <c r="N41" i="10"/>
  <c r="O41" i="10"/>
  <c r="G41" i="10"/>
  <c r="AA42" i="10" s="1"/>
  <c r="E41" i="10"/>
  <c r="O40" i="10"/>
  <c r="N40" i="10"/>
  <c r="G40" i="10"/>
  <c r="AA41" i="10" s="1"/>
  <c r="E40" i="10"/>
  <c r="N39" i="10"/>
  <c r="O39" i="10"/>
  <c r="G39" i="10"/>
  <c r="H39" i="10" s="1"/>
  <c r="E39" i="10"/>
  <c r="N38" i="10"/>
  <c r="O38" i="10"/>
  <c r="G38" i="10"/>
  <c r="H38" i="10" s="1"/>
  <c r="E38" i="10"/>
  <c r="N37" i="10"/>
  <c r="O37" i="10"/>
  <c r="G37" i="10"/>
  <c r="H37" i="10" s="1"/>
  <c r="E37" i="10"/>
  <c r="N36" i="10"/>
  <c r="O36" i="10"/>
  <c r="G36" i="10"/>
  <c r="H36" i="10" s="1"/>
  <c r="E36" i="10"/>
  <c r="N35" i="10"/>
  <c r="O35" i="10"/>
  <c r="G35" i="10"/>
  <c r="AA36" i="10" s="1"/>
  <c r="E35" i="10"/>
  <c r="N34" i="10"/>
  <c r="O34" i="10"/>
  <c r="G34" i="10"/>
  <c r="AA35" i="10" s="1"/>
  <c r="E34" i="10"/>
  <c r="N33" i="10"/>
  <c r="O33" i="10"/>
  <c r="G33" i="10"/>
  <c r="H33" i="10" s="1"/>
  <c r="E33" i="10"/>
  <c r="O32" i="10"/>
  <c r="N32" i="10"/>
  <c r="G32" i="10"/>
  <c r="AA33" i="10" s="1"/>
  <c r="E32" i="10"/>
  <c r="N31" i="10"/>
  <c r="O31" i="10"/>
  <c r="G31" i="10"/>
  <c r="AA32" i="10" s="1"/>
  <c r="E31" i="10"/>
  <c r="O30" i="10"/>
  <c r="N30" i="10"/>
  <c r="G30" i="10"/>
  <c r="AA31" i="10" s="1"/>
  <c r="E30" i="10"/>
  <c r="N29" i="10"/>
  <c r="O29" i="10"/>
  <c r="G29" i="10"/>
  <c r="H29" i="10" s="1"/>
  <c r="E29" i="10"/>
  <c r="O28" i="10"/>
  <c r="N28" i="10"/>
  <c r="G28" i="10"/>
  <c r="AA29" i="10" s="1"/>
  <c r="E28" i="10"/>
  <c r="N27" i="10"/>
  <c r="O27" i="10"/>
  <c r="G27" i="10"/>
  <c r="AA28" i="10" s="1"/>
  <c r="E27" i="10"/>
  <c r="O26" i="10"/>
  <c r="N26" i="10"/>
  <c r="G26" i="10"/>
  <c r="H26" i="10" s="1"/>
  <c r="E26" i="10"/>
  <c r="N25" i="10"/>
  <c r="O25" i="10"/>
  <c r="G25" i="10"/>
  <c r="AA26" i="10" s="1"/>
  <c r="E25" i="10"/>
  <c r="O24" i="10"/>
  <c r="N24" i="10"/>
  <c r="G24" i="10"/>
  <c r="AA25" i="10" s="1"/>
  <c r="E24" i="10"/>
  <c r="N23" i="10"/>
  <c r="O23" i="10"/>
  <c r="G23" i="10"/>
  <c r="AA24" i="10" s="1"/>
  <c r="E23" i="10"/>
  <c r="O22" i="10"/>
  <c r="N22" i="10"/>
  <c r="G22" i="10"/>
  <c r="AA23" i="10" s="1"/>
  <c r="E22" i="10"/>
  <c r="N21" i="10"/>
  <c r="O21" i="10"/>
  <c r="G21" i="10"/>
  <c r="H21" i="10" s="1"/>
  <c r="E21" i="10"/>
  <c r="AB20" i="10"/>
  <c r="O20" i="10"/>
  <c r="N20" i="10"/>
  <c r="G20" i="10"/>
  <c r="H20" i="10" s="1"/>
  <c r="E20" i="10"/>
  <c r="N19" i="10"/>
  <c r="O19" i="10"/>
  <c r="G19" i="10"/>
  <c r="H19" i="10" s="1"/>
  <c r="P4" i="10"/>
  <c r="P4" i="4"/>
  <c r="G19" i="4"/>
  <c r="H19" i="4"/>
  <c r="N19" i="4"/>
  <c r="O19" i="4"/>
  <c r="P20" i="4"/>
  <c r="Y20" i="4"/>
  <c r="Q20" i="4"/>
  <c r="E20" i="4"/>
  <c r="G20" i="4"/>
  <c r="H20" i="4"/>
  <c r="J21" i="4"/>
  <c r="W21" i="4"/>
  <c r="K21" i="4"/>
  <c r="N20" i="4"/>
  <c r="O20" i="4"/>
  <c r="P21" i="4"/>
  <c r="Y21" i="4"/>
  <c r="Q21" i="4"/>
  <c r="AA20" i="4"/>
  <c r="AB20" i="4"/>
  <c r="E21" i="4"/>
  <c r="G21" i="4"/>
  <c r="H21" i="4"/>
  <c r="J22" i="4"/>
  <c r="W22" i="4"/>
  <c r="K22" i="4"/>
  <c r="N21" i="4"/>
  <c r="O21" i="4"/>
  <c r="AA21" i="4"/>
  <c r="E22" i="4"/>
  <c r="G22" i="4"/>
  <c r="H22" i="4"/>
  <c r="J23" i="4"/>
  <c r="W23" i="4"/>
  <c r="K23" i="4"/>
  <c r="N22" i="4"/>
  <c r="O22" i="4"/>
  <c r="P22" i="4"/>
  <c r="Y22" i="4"/>
  <c r="Q22" i="4"/>
  <c r="AA22" i="4"/>
  <c r="AB23" i="4"/>
  <c r="AB22" i="4"/>
  <c r="AC22" i="4"/>
  <c r="E23" i="4"/>
  <c r="G23" i="4"/>
  <c r="H23" i="4"/>
  <c r="N23" i="4"/>
  <c r="O23" i="4"/>
  <c r="P24" i="4"/>
  <c r="Y24" i="4"/>
  <c r="Q24" i="4"/>
  <c r="AA23" i="4"/>
  <c r="AC23" i="4"/>
  <c r="E24" i="4"/>
  <c r="G24" i="4"/>
  <c r="H24" i="4"/>
  <c r="J25" i="4"/>
  <c r="W25" i="4"/>
  <c r="K25" i="4"/>
  <c r="N24" i="4"/>
  <c r="O24" i="4"/>
  <c r="P25" i="4"/>
  <c r="AA24" i="4"/>
  <c r="AB24" i="4"/>
  <c r="AC24" i="4"/>
  <c r="E25" i="4"/>
  <c r="G25" i="4"/>
  <c r="H25" i="4"/>
  <c r="J26" i="4"/>
  <c r="W26" i="4"/>
  <c r="K26" i="4"/>
  <c r="N25" i="4"/>
  <c r="O25" i="4"/>
  <c r="Y25" i="4"/>
  <c r="Q25" i="4"/>
  <c r="AA25" i="4"/>
  <c r="AB26" i="4"/>
  <c r="AC26" i="4"/>
  <c r="E26" i="4"/>
  <c r="G26" i="4"/>
  <c r="H26" i="4"/>
  <c r="N26" i="4"/>
  <c r="O26" i="4"/>
  <c r="P26" i="4"/>
  <c r="Y26" i="4"/>
  <c r="Q26" i="4"/>
  <c r="AA26" i="4"/>
  <c r="AB27" i="4"/>
  <c r="E27" i="4"/>
  <c r="G27" i="4"/>
  <c r="H27" i="4"/>
  <c r="J28" i="4"/>
  <c r="W28" i="4"/>
  <c r="K28" i="4"/>
  <c r="N27" i="4"/>
  <c r="O27" i="4"/>
  <c r="P28" i="4"/>
  <c r="Y28" i="4"/>
  <c r="Q28" i="4"/>
  <c r="AA27" i="4"/>
  <c r="AB28" i="4"/>
  <c r="AC28" i="4"/>
  <c r="AC27" i="4"/>
  <c r="E28" i="4"/>
  <c r="G28" i="4"/>
  <c r="H28" i="4"/>
  <c r="N28" i="4"/>
  <c r="O28" i="4"/>
  <c r="P29" i="4"/>
  <c r="AA28" i="4"/>
  <c r="E29" i="4"/>
  <c r="G29" i="4"/>
  <c r="H29" i="4"/>
  <c r="J29" i="4"/>
  <c r="W29" i="4"/>
  <c r="K29" i="4"/>
  <c r="N29" i="4"/>
  <c r="O29" i="4"/>
  <c r="Y29" i="4"/>
  <c r="Q29" i="4"/>
  <c r="AA29" i="4"/>
  <c r="AB30" i="4"/>
  <c r="AC30" i="4"/>
  <c r="E30" i="4"/>
  <c r="G30" i="4"/>
  <c r="H30" i="4"/>
  <c r="J30" i="4"/>
  <c r="W30" i="4"/>
  <c r="K30" i="4"/>
  <c r="N30" i="4"/>
  <c r="O30" i="4"/>
  <c r="P30" i="4"/>
  <c r="Y30" i="4"/>
  <c r="Q30" i="4"/>
  <c r="AA30" i="4"/>
  <c r="AB31" i="4"/>
  <c r="E31" i="4"/>
  <c r="G31" i="4"/>
  <c r="H31" i="4"/>
  <c r="J32" i="4"/>
  <c r="W32" i="4"/>
  <c r="K32" i="4"/>
  <c r="N31" i="4"/>
  <c r="O31" i="4"/>
  <c r="P32" i="4"/>
  <c r="Y32" i="4"/>
  <c r="Q32" i="4"/>
  <c r="AA31" i="4"/>
  <c r="AB32" i="4"/>
  <c r="AC31" i="4"/>
  <c r="E32" i="4"/>
  <c r="G32" i="4"/>
  <c r="H32" i="4"/>
  <c r="N32" i="4"/>
  <c r="O32" i="4"/>
  <c r="P33" i="4"/>
  <c r="Y33" i="4"/>
  <c r="Q33" i="4"/>
  <c r="AA32" i="4"/>
  <c r="E33" i="4"/>
  <c r="G33" i="4"/>
  <c r="H33" i="4"/>
  <c r="J33" i="4"/>
  <c r="W33" i="4"/>
  <c r="K33" i="4"/>
  <c r="N33" i="4"/>
  <c r="O33" i="4"/>
  <c r="P34" i="4"/>
  <c r="Y34" i="4"/>
  <c r="Q34" i="4"/>
  <c r="AA33" i="4"/>
  <c r="E34" i="4"/>
  <c r="G34" i="4"/>
  <c r="H34" i="4"/>
  <c r="J35" i="4"/>
  <c r="W35" i="4"/>
  <c r="K35" i="4"/>
  <c r="J34" i="4"/>
  <c r="W34" i="4"/>
  <c r="K34" i="4"/>
  <c r="N34" i="4"/>
  <c r="O34" i="4"/>
  <c r="AA34" i="4"/>
  <c r="AB35" i="4"/>
  <c r="AB34" i="4"/>
  <c r="AC34" i="4"/>
  <c r="E35" i="4"/>
  <c r="G35" i="4"/>
  <c r="H35" i="4"/>
  <c r="N35" i="4"/>
  <c r="O35" i="4"/>
  <c r="P36" i="4"/>
  <c r="Y36" i="4"/>
  <c r="Q36" i="4"/>
  <c r="AA35" i="4"/>
  <c r="AB36" i="4"/>
  <c r="AC35" i="4"/>
  <c r="E36" i="4"/>
  <c r="G36" i="4"/>
  <c r="H36" i="4"/>
  <c r="J37" i="4"/>
  <c r="W37" i="4"/>
  <c r="K37" i="4"/>
  <c r="N36" i="4"/>
  <c r="O36" i="4"/>
  <c r="P37" i="4"/>
  <c r="Y37" i="4"/>
  <c r="Q37" i="4"/>
  <c r="AA36" i="4"/>
  <c r="E37" i="4"/>
  <c r="G37" i="4"/>
  <c r="H37" i="4"/>
  <c r="J38" i="4"/>
  <c r="W38" i="4"/>
  <c r="K38" i="4"/>
  <c r="N37" i="4"/>
  <c r="O37" i="4"/>
  <c r="P38" i="4"/>
  <c r="Y38" i="4"/>
  <c r="Q38" i="4"/>
  <c r="AA37" i="4"/>
  <c r="E38" i="4"/>
  <c r="G38" i="4"/>
  <c r="H38" i="4"/>
  <c r="J39" i="4"/>
  <c r="W39" i="4"/>
  <c r="K39" i="4"/>
  <c r="N38" i="4"/>
  <c r="O38" i="4"/>
  <c r="AA38" i="4"/>
  <c r="AB39" i="4"/>
  <c r="AB38" i="4"/>
  <c r="AC38" i="4"/>
  <c r="E39" i="4"/>
  <c r="G39" i="4"/>
  <c r="H39" i="4"/>
  <c r="N39" i="4"/>
  <c r="O39" i="4"/>
  <c r="P40" i="4"/>
  <c r="Y40" i="4"/>
  <c r="Q40" i="4"/>
  <c r="AA39" i="4"/>
  <c r="AB40" i="4"/>
  <c r="AC40" i="4"/>
  <c r="AC39" i="4"/>
  <c r="E40" i="4"/>
  <c r="G40" i="4"/>
  <c r="H40" i="4"/>
  <c r="J41" i="4"/>
  <c r="W41" i="4"/>
  <c r="K41" i="4"/>
  <c r="N40" i="4"/>
  <c r="O40" i="4"/>
  <c r="P41" i="4"/>
  <c r="AA40" i="4"/>
  <c r="E41" i="4"/>
  <c r="G41" i="4"/>
  <c r="H41" i="4"/>
  <c r="J42" i="4"/>
  <c r="W42" i="4"/>
  <c r="K42" i="4"/>
  <c r="N41" i="4"/>
  <c r="O41" i="4"/>
  <c r="P42" i="4"/>
  <c r="Y42" i="4"/>
  <c r="Q42" i="4"/>
  <c r="Y41" i="4"/>
  <c r="Q41" i="4"/>
  <c r="AA41" i="4"/>
  <c r="AB42" i="4"/>
  <c r="AC42" i="4"/>
  <c r="E42" i="4"/>
  <c r="G42" i="4"/>
  <c r="H42" i="4"/>
  <c r="N42" i="4"/>
  <c r="O42" i="4"/>
  <c r="P43" i="4"/>
  <c r="Y43" i="4"/>
  <c r="Q43" i="4"/>
  <c r="AA42" i="4"/>
  <c r="AB43" i="4"/>
  <c r="E43" i="4"/>
  <c r="G43" i="4"/>
  <c r="H43" i="4"/>
  <c r="J44" i="4"/>
  <c r="W44" i="4"/>
  <c r="K44" i="4"/>
  <c r="N43" i="4"/>
  <c r="O43" i="4"/>
  <c r="P44" i="4"/>
  <c r="Y44" i="4"/>
  <c r="Q44" i="4"/>
  <c r="AA43" i="4"/>
  <c r="AB44" i="4"/>
  <c r="AC44" i="4"/>
  <c r="AC43" i="4"/>
  <c r="E44" i="4"/>
  <c r="G44" i="4"/>
  <c r="H44" i="4"/>
  <c r="N44" i="4"/>
  <c r="O44" i="4"/>
  <c r="P45" i="4"/>
  <c r="AA44" i="4"/>
  <c r="E45" i="4"/>
  <c r="G45" i="4"/>
  <c r="H45" i="4"/>
  <c r="J45" i="4"/>
  <c r="W45" i="4"/>
  <c r="K45" i="4"/>
  <c r="N45" i="4"/>
  <c r="O45" i="4"/>
  <c r="P46" i="4"/>
  <c r="Y46" i="4"/>
  <c r="Q46" i="4"/>
  <c r="Y45" i="4"/>
  <c r="Q45" i="4"/>
  <c r="AA45" i="4"/>
  <c r="AB46" i="4"/>
  <c r="AC46" i="4"/>
  <c r="E46" i="4"/>
  <c r="G46" i="4"/>
  <c r="H46" i="4"/>
  <c r="J46" i="4"/>
  <c r="W46" i="4"/>
  <c r="K46" i="4"/>
  <c r="N46" i="4"/>
  <c r="O46" i="4"/>
  <c r="AA46" i="4"/>
  <c r="AB47" i="4"/>
  <c r="E47" i="4"/>
  <c r="G47" i="4"/>
  <c r="H47" i="4"/>
  <c r="J48" i="4"/>
  <c r="W48" i="4"/>
  <c r="K48" i="4"/>
  <c r="N47" i="4"/>
  <c r="O47" i="4"/>
  <c r="P48" i="4"/>
  <c r="Y48" i="4"/>
  <c r="Q48" i="4"/>
  <c r="AA47" i="4"/>
  <c r="AB48" i="4"/>
  <c r="AC47" i="4"/>
  <c r="E48" i="4"/>
  <c r="G48" i="4"/>
  <c r="H48" i="4"/>
  <c r="N48" i="4"/>
  <c r="O48" i="4"/>
  <c r="AA48" i="4"/>
  <c r="AB45" i="4"/>
  <c r="AC45" i="4"/>
  <c r="J36" i="4"/>
  <c r="W36" i="4"/>
  <c r="K36" i="4"/>
  <c r="AB29" i="4"/>
  <c r="AC29" i="4"/>
  <c r="AC36" i="4"/>
  <c r="P35" i="4"/>
  <c r="Y35" i="4"/>
  <c r="Q35" i="4"/>
  <c r="AB21" i="4"/>
  <c r="AC21" i="4"/>
  <c r="P39" i="4"/>
  <c r="Y39" i="4"/>
  <c r="Q39" i="4"/>
  <c r="J47" i="4"/>
  <c r="W47" i="4"/>
  <c r="K47" i="4"/>
  <c r="AB37" i="4"/>
  <c r="AC37" i="4"/>
  <c r="J31" i="4"/>
  <c r="W31" i="4"/>
  <c r="K31" i="4"/>
  <c r="AC48" i="4"/>
  <c r="J43" i="4"/>
  <c r="W43" i="4"/>
  <c r="K43" i="4"/>
  <c r="J40" i="4"/>
  <c r="W40" i="4"/>
  <c r="K40" i="4"/>
  <c r="AB33" i="4"/>
  <c r="AC33" i="4"/>
  <c r="AC32" i="4"/>
  <c r="J27" i="4"/>
  <c r="W27" i="4"/>
  <c r="K27" i="4"/>
  <c r="J24" i="4"/>
  <c r="W24" i="4"/>
  <c r="K24" i="4"/>
  <c r="J20" i="4"/>
  <c r="W20" i="4"/>
  <c r="K20" i="4"/>
  <c r="AB41" i="4"/>
  <c r="AC41" i="4"/>
  <c r="P47" i="4"/>
  <c r="Y47" i="4"/>
  <c r="Q47" i="4"/>
  <c r="P31" i="4"/>
  <c r="Y31" i="4"/>
  <c r="Q31" i="4"/>
  <c r="P27" i="4"/>
  <c r="Y27" i="4"/>
  <c r="Q27" i="4"/>
  <c r="AB25" i="4"/>
  <c r="AC25" i="4"/>
  <c r="P23" i="4"/>
  <c r="Y23" i="4"/>
  <c r="Q23" i="4"/>
  <c r="P50" i="4"/>
  <c r="AC20" i="4"/>
  <c r="AC51" i="4"/>
  <c r="M55" i="4"/>
  <c r="F50" i="4"/>
  <c r="M53" i="4"/>
  <c r="AA40" i="10" l="1"/>
  <c r="H47" i="10"/>
  <c r="H41" i="10"/>
  <c r="J42" i="10" s="1"/>
  <c r="W42" i="10" s="1"/>
  <c r="K42" i="10" s="1"/>
  <c r="H32" i="10"/>
  <c r="J33" i="10" s="1"/>
  <c r="W33" i="10" s="1"/>
  <c r="K33" i="10" s="1"/>
  <c r="H22" i="10"/>
  <c r="J22" i="10" s="1"/>
  <c r="W22" i="10" s="1"/>
  <c r="K22" i="10" s="1"/>
  <c r="AA22" i="10"/>
  <c r="AB23" i="10" s="1"/>
  <c r="AC23" i="10" s="1"/>
  <c r="H24" i="10"/>
  <c r="H43" i="10"/>
  <c r="J44" i="10" s="1"/>
  <c r="W44" i="10" s="1"/>
  <c r="K44" i="10" s="1"/>
  <c r="H45" i="10"/>
  <c r="J45" i="10" s="1"/>
  <c r="W45" i="10" s="1"/>
  <c r="K45" i="10" s="1"/>
  <c r="P38" i="10"/>
  <c r="Y38" i="10" s="1"/>
  <c r="Q38" i="10" s="1"/>
  <c r="P48" i="10"/>
  <c r="Y48" i="10" s="1"/>
  <c r="Q48" i="10" s="1"/>
  <c r="H35" i="10"/>
  <c r="J36" i="10" s="1"/>
  <c r="W36" i="10" s="1"/>
  <c r="K36" i="10" s="1"/>
  <c r="AA20" i="10"/>
  <c r="AA37" i="10"/>
  <c r="AB37" i="10" s="1"/>
  <c r="AC37" i="10" s="1"/>
  <c r="AB41" i="10"/>
  <c r="AC41" i="10" s="1"/>
  <c r="P36" i="10"/>
  <c r="Y36" i="10" s="1"/>
  <c r="Q36" i="10" s="1"/>
  <c r="H34" i="10"/>
  <c r="J34" i="10" s="1"/>
  <c r="W34" i="10" s="1"/>
  <c r="K34" i="10" s="1"/>
  <c r="H40" i="10"/>
  <c r="AA45" i="10"/>
  <c r="AB45" i="10" s="1"/>
  <c r="AC45" i="10" s="1"/>
  <c r="AA43" i="10"/>
  <c r="AB43" i="10" s="1"/>
  <c r="AC43" i="10" s="1"/>
  <c r="AA39" i="10"/>
  <c r="AB40" i="10" s="1"/>
  <c r="AC40" i="10" s="1"/>
  <c r="AA38" i="10"/>
  <c r="AB39" i="10" s="1"/>
  <c r="AC39" i="10" s="1"/>
  <c r="J37" i="10"/>
  <c r="W37" i="10" s="1"/>
  <c r="K37" i="10" s="1"/>
  <c r="AA34" i="10"/>
  <c r="AB34" i="10" s="1"/>
  <c r="AC34" i="10" s="1"/>
  <c r="P47" i="10"/>
  <c r="Y47" i="10" s="1"/>
  <c r="Q47" i="10" s="1"/>
  <c r="AA47" i="10"/>
  <c r="AB47" i="10" s="1"/>
  <c r="AC47" i="10" s="1"/>
  <c r="H25" i="10"/>
  <c r="H27" i="10"/>
  <c r="J27" i="10" s="1"/>
  <c r="W27" i="10" s="1"/>
  <c r="K27" i="10" s="1"/>
  <c r="H23" i="10"/>
  <c r="H28" i="10"/>
  <c r="J29" i="10" s="1"/>
  <c r="W29" i="10" s="1"/>
  <c r="K29" i="10" s="1"/>
  <c r="J39" i="10"/>
  <c r="W39" i="10" s="1"/>
  <c r="K39" i="10" s="1"/>
  <c r="P42" i="10"/>
  <c r="Y42" i="10" s="1"/>
  <c r="Q42" i="10" s="1"/>
  <c r="P30" i="10"/>
  <c r="Y30" i="10" s="1"/>
  <c r="Q30" i="10" s="1"/>
  <c r="H31" i="10"/>
  <c r="J32" i="10" s="1"/>
  <c r="W32" i="10" s="1"/>
  <c r="K32" i="10" s="1"/>
  <c r="P33" i="10"/>
  <c r="Y33" i="10" s="1"/>
  <c r="Q33" i="10" s="1"/>
  <c r="AB36" i="10"/>
  <c r="AC36" i="10" s="1"/>
  <c r="AB42" i="10"/>
  <c r="AC42" i="10" s="1"/>
  <c r="P41" i="10"/>
  <c r="Y41" i="10" s="1"/>
  <c r="Q41" i="10" s="1"/>
  <c r="P25" i="10"/>
  <c r="Y25" i="10" s="1"/>
  <c r="Q25" i="10" s="1"/>
  <c r="P31" i="10"/>
  <c r="Y31" i="10" s="1"/>
  <c r="Q31" i="10" s="1"/>
  <c r="P37" i="10"/>
  <c r="Y37" i="10" s="1"/>
  <c r="Q37" i="10" s="1"/>
  <c r="P35" i="10"/>
  <c r="Y35" i="10" s="1"/>
  <c r="Q35" i="10" s="1"/>
  <c r="AA30" i="10"/>
  <c r="AB31" i="10" s="1"/>
  <c r="AC31" i="10" s="1"/>
  <c r="P27" i="10"/>
  <c r="Y27" i="10" s="1"/>
  <c r="Q27" i="10" s="1"/>
  <c r="H30" i="10"/>
  <c r="J30" i="10" s="1"/>
  <c r="W30" i="10" s="1"/>
  <c r="K30" i="10" s="1"/>
  <c r="AB33" i="10"/>
  <c r="AC33" i="10" s="1"/>
  <c r="AA27" i="10"/>
  <c r="AB28" i="10" s="1"/>
  <c r="AC28" i="10" s="1"/>
  <c r="J47" i="10"/>
  <c r="W47" i="10" s="1"/>
  <c r="K47" i="10" s="1"/>
  <c r="AA21" i="10"/>
  <c r="P40" i="10"/>
  <c r="Y40" i="10" s="1"/>
  <c r="Q40" i="10" s="1"/>
  <c r="P28" i="10"/>
  <c r="Y28" i="10" s="1"/>
  <c r="Q28" i="10" s="1"/>
  <c r="P34" i="10"/>
  <c r="Y34" i="10" s="1"/>
  <c r="Q34" i="10" s="1"/>
  <c r="P46" i="10"/>
  <c r="Y46" i="10" s="1"/>
  <c r="Q46" i="10" s="1"/>
  <c r="P45" i="10"/>
  <c r="Y45" i="10" s="1"/>
  <c r="Q45" i="10" s="1"/>
  <c r="P43" i="10"/>
  <c r="Y43" i="10" s="1"/>
  <c r="Q43" i="10" s="1"/>
  <c r="J48" i="10"/>
  <c r="W48" i="10" s="1"/>
  <c r="K48" i="10" s="1"/>
  <c r="J21" i="10"/>
  <c r="W21" i="10" s="1"/>
  <c r="K21" i="10" s="1"/>
  <c r="P26" i="10"/>
  <c r="Y26" i="10" s="1"/>
  <c r="Q26" i="10" s="1"/>
  <c r="AB24" i="10"/>
  <c r="AC24" i="10" s="1"/>
  <c r="AB25" i="10"/>
  <c r="AC25" i="10" s="1"/>
  <c r="P23" i="10"/>
  <c r="Y23" i="10" s="1"/>
  <c r="Q23" i="10" s="1"/>
  <c r="P39" i="10"/>
  <c r="Y39" i="10" s="1"/>
  <c r="Q39" i="10" s="1"/>
  <c r="P44" i="10"/>
  <c r="Y44" i="10" s="1"/>
  <c r="Q44" i="10" s="1"/>
  <c r="J20" i="10"/>
  <c r="AC20" i="10" s="1"/>
  <c r="P20" i="10"/>
  <c r="Y20" i="10" s="1"/>
  <c r="Q20" i="10" s="1"/>
  <c r="P24" i="10"/>
  <c r="Y24" i="10" s="1"/>
  <c r="Q24" i="10" s="1"/>
  <c r="P22" i="10"/>
  <c r="Y22" i="10" s="1"/>
  <c r="Q22" i="10" s="1"/>
  <c r="AB32" i="10"/>
  <c r="AC32" i="10" s="1"/>
  <c r="P32" i="10"/>
  <c r="Y32" i="10" s="1"/>
  <c r="Q32" i="10" s="1"/>
  <c r="AB26" i="10"/>
  <c r="AC26" i="10" s="1"/>
  <c r="P21" i="10"/>
  <c r="Y21" i="10" s="1"/>
  <c r="Q21" i="10" s="1"/>
  <c r="P29" i="10"/>
  <c r="Y29" i="10" s="1"/>
  <c r="Q29" i="10" s="1"/>
  <c r="AB29" i="10"/>
  <c r="AC29" i="10" s="1"/>
  <c r="J38" i="10"/>
  <c r="W38" i="10" s="1"/>
  <c r="K38" i="10" s="1"/>
  <c r="AB22" i="10" l="1"/>
  <c r="AC22" i="10" s="1"/>
  <c r="J41" i="10"/>
  <c r="W41" i="10" s="1"/>
  <c r="K41" i="10" s="1"/>
  <c r="AB44" i="10"/>
  <c r="AC44" i="10" s="1"/>
  <c r="J25" i="10"/>
  <c r="W25" i="10" s="1"/>
  <c r="K25" i="10" s="1"/>
  <c r="J24" i="10"/>
  <c r="W24" i="10" s="1"/>
  <c r="K24" i="10" s="1"/>
  <c r="AB35" i="10"/>
  <c r="AC35" i="10" s="1"/>
  <c r="J46" i="10"/>
  <c r="W46" i="10" s="1"/>
  <c r="K46" i="10" s="1"/>
  <c r="J43" i="10"/>
  <c r="W43" i="10" s="1"/>
  <c r="K43" i="10" s="1"/>
  <c r="J35" i="10"/>
  <c r="W35" i="10" s="1"/>
  <c r="K35" i="10" s="1"/>
  <c r="AB27" i="10"/>
  <c r="AC27" i="10" s="1"/>
  <c r="AB48" i="10"/>
  <c r="AC48" i="10" s="1"/>
  <c r="AB30" i="10"/>
  <c r="AC30" i="10" s="1"/>
  <c r="AB46" i="10"/>
  <c r="AC46" i="10" s="1"/>
  <c r="J26" i="10"/>
  <c r="W26" i="10" s="1"/>
  <c r="K26" i="10" s="1"/>
  <c r="J40" i="10"/>
  <c r="W40" i="10" s="1"/>
  <c r="K40" i="10" s="1"/>
  <c r="AB38" i="10"/>
  <c r="AC38" i="10" s="1"/>
  <c r="J23" i="10"/>
  <c r="W23" i="10" s="1"/>
  <c r="K23" i="10" s="1"/>
  <c r="J28" i="10"/>
  <c r="W28" i="10" s="1"/>
  <c r="K28" i="10" s="1"/>
  <c r="J31" i="10"/>
  <c r="W31" i="10" s="1"/>
  <c r="K31" i="10" s="1"/>
  <c r="AB21" i="10"/>
  <c r="AC21" i="10" s="1"/>
  <c r="P50" i="10"/>
  <c r="W20" i="10"/>
  <c r="K20" i="10" s="1"/>
  <c r="AC51" i="10" l="1"/>
  <c r="M55" i="10" s="1"/>
  <c r="F50" i="10"/>
  <c r="M53" i="10" s="1"/>
</calcChain>
</file>

<file path=xl/comments1.xml><?xml version="1.0" encoding="utf-8"?>
<comments xmlns="http://schemas.openxmlformats.org/spreadsheetml/2006/main">
  <authors>
    <author>T.Schmidt</author>
    <author>Wenzel</author>
  </authors>
  <commentList>
    <comment ref="N12" authorId="0" shapeId="0">
      <text>
        <r>
          <rPr>
            <b/>
            <sz val="9"/>
            <color indexed="81"/>
            <rFont val="Tahoma"/>
            <family val="2"/>
          </rPr>
          <t>Enter the design elevation of the top of the embankment.</t>
        </r>
      </text>
    </comment>
    <comment ref="E13" authorId="0" shapeId="0">
      <text>
        <r>
          <rPr>
            <b/>
            <sz val="8"/>
            <color indexed="81"/>
            <rFont val="Tahoma"/>
            <family val="2"/>
          </rPr>
          <t>This is the front slope of the embankment.  Enter the ratio (Z:1).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3" authorId="1" shapeId="0">
      <text>
        <r>
          <rPr>
            <b/>
            <sz val="9"/>
            <color indexed="81"/>
            <rFont val="Tahoma"/>
            <family val="2"/>
          </rPr>
          <t>Enter the percent of settlement required for the embankment.  Only enter a number if the additional  fill height due to settlement is desired to be included in the calculated embankment volume.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4" authorId="0" shapeId="0">
      <text>
        <r>
          <rPr>
            <b/>
            <sz val="8"/>
            <color indexed="81"/>
            <rFont val="Tahoma"/>
            <family val="2"/>
          </rPr>
          <t>This is the back slope of the embankment.  Enter the ratio (Z:1).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4" authorId="0" shapeId="0">
      <text>
        <r>
          <rPr>
            <b/>
            <sz val="8"/>
            <color indexed="81"/>
            <rFont val="Tahoma"/>
            <family val="2"/>
          </rPr>
          <t>Depth of subcut in feet  measured from existing ground.</t>
        </r>
      </text>
    </comment>
    <comment ref="B18" authorId="1" shapeId="0">
      <text>
        <r>
          <rPr>
            <b/>
            <sz val="8"/>
            <color indexed="81"/>
            <rFont val="Tahoma"/>
            <family val="2"/>
          </rPr>
          <t xml:space="preserve">Enter station numbers to be used to calculate earthwork volumes (Sta. 1+00 should be entered as 100)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55" authorId="0" shapeId="0">
      <text>
        <r>
          <rPr>
            <b/>
            <sz val="8"/>
            <color indexed="81"/>
            <rFont val="Tahoma"/>
            <family val="2"/>
          </rPr>
          <t>Surface area of embankment (in acres) to be used in seeding calculations.</t>
        </r>
      </text>
    </comment>
  </commentList>
</comments>
</file>

<file path=xl/comments2.xml><?xml version="1.0" encoding="utf-8"?>
<comments xmlns="http://schemas.openxmlformats.org/spreadsheetml/2006/main">
  <authors>
    <author>T.Schmidt</author>
    <author>Wenzel</author>
  </authors>
  <commentList>
    <comment ref="N12" authorId="0" shapeId="0">
      <text>
        <r>
          <rPr>
            <b/>
            <sz val="9"/>
            <color indexed="81"/>
            <rFont val="Tahoma"/>
            <family val="2"/>
          </rPr>
          <t>Enter the design elevation of the top of the embankment.</t>
        </r>
      </text>
    </comment>
    <comment ref="E13" authorId="0" shapeId="0">
      <text>
        <r>
          <rPr>
            <b/>
            <sz val="8"/>
            <color indexed="81"/>
            <rFont val="Tahoma"/>
            <family val="2"/>
          </rPr>
          <t>This is the front slope of the embankment.  Enter the desired width minus 1/2 the top width (Ex. 20' desired front slope, 3' top, enter in 20 - 1.5 = 18.5')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3" authorId="1" shapeId="0">
      <text>
        <r>
          <rPr>
            <b/>
            <sz val="9"/>
            <color indexed="81"/>
            <rFont val="Tahoma"/>
            <family val="2"/>
          </rPr>
          <t>Enter the percent of settlement required for the embankment.  Only enter a number if the additional  fill height due to settlement is desired to be included in the calculated embankment volume.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4" authorId="0" shapeId="0">
      <text>
        <r>
          <rPr>
            <b/>
            <sz val="8"/>
            <color indexed="81"/>
            <rFont val="Tahoma"/>
            <family val="2"/>
          </rPr>
          <t>This is the back slope of the embankment.  Enter the desired width minus 1/2 the top width (Ex. 20' desired back slope, 3' top, enter in 20 - 1.5 = 18.5')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4" authorId="0" shapeId="0">
      <text>
        <r>
          <rPr>
            <b/>
            <sz val="8"/>
            <color indexed="81"/>
            <rFont val="Tahoma"/>
            <family val="2"/>
          </rPr>
          <t>Depth of subcut in feet  measured from existing ground.</t>
        </r>
      </text>
    </comment>
    <comment ref="B18" authorId="1" shapeId="0">
      <text>
        <r>
          <rPr>
            <b/>
            <sz val="8"/>
            <color indexed="81"/>
            <rFont val="Tahoma"/>
            <family val="2"/>
          </rPr>
          <t xml:space="preserve">Enter station numbers to be used to calculate earthwork volumes (Sta. 1+00 should be entered as 100)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55" authorId="0" shapeId="0">
      <text>
        <r>
          <rPr>
            <b/>
            <sz val="8"/>
            <color indexed="81"/>
            <rFont val="Tahoma"/>
            <family val="2"/>
          </rPr>
          <t>Surface area of embankment (in acres) to be used in seeding calculations.</t>
        </r>
      </text>
    </comment>
  </commentList>
</comments>
</file>

<file path=xl/sharedStrings.xml><?xml version="1.0" encoding="utf-8"?>
<sst xmlns="http://schemas.openxmlformats.org/spreadsheetml/2006/main" count="97" uniqueCount="48">
  <si>
    <t>Embankment Elevation</t>
  </si>
  <si>
    <t>Embankment Subcut</t>
  </si>
  <si>
    <t>DESIGN DATA</t>
  </si>
  <si>
    <t xml:space="preserve">EMBANKMENT </t>
  </si>
  <si>
    <t>SUBCUT</t>
  </si>
  <si>
    <t>STA.</t>
  </si>
  <si>
    <t>EXISTING GROUND ELEV.</t>
  </si>
  <si>
    <t>DIST B/W STA.</t>
  </si>
  <si>
    <t>FILL HEIGHT</t>
  </si>
  <si>
    <t>END AREA (SQ.FT.)</t>
  </si>
  <si>
    <t>AVG END AREA (SQ.FT.)</t>
  </si>
  <si>
    <t>CU. YARDS PER FT.</t>
  </si>
  <si>
    <t>TOTAL CUBIC YARDS</t>
  </si>
  <si>
    <t>SUBCUT GRADE ELEV.</t>
  </si>
  <si>
    <t>END AREA (SQ.FT)</t>
  </si>
  <si>
    <t>AVG END AREA (SQ. FT)</t>
  </si>
  <si>
    <t>CU. YDS. PER FOOT</t>
  </si>
  <si>
    <t>EMBANKMENT TOTAL (C.Y. )</t>
  </si>
  <si>
    <t>TOTAL YDS³ OF COMPACTED FILL</t>
  </si>
  <si>
    <t>SURFACE AREA OF EMBANKMENT (ACRES)</t>
  </si>
  <si>
    <t>SEEDING AREA CALCS</t>
  </si>
  <si>
    <t>TOTAL SQUARE FEET:</t>
  </si>
  <si>
    <t>Landuser:</t>
  </si>
  <si>
    <t>County:</t>
  </si>
  <si>
    <t>Township:</t>
  </si>
  <si>
    <t>Section:</t>
  </si>
  <si>
    <t>T</t>
  </si>
  <si>
    <t>R</t>
  </si>
  <si>
    <t>Date:</t>
  </si>
  <si>
    <t>Designed by:</t>
  </si>
  <si>
    <t>Checked By:</t>
  </si>
  <si>
    <t>Top Width (ft)</t>
  </si>
  <si>
    <t>SUBCUT TOTAL (C.Y.)</t>
  </si>
  <si>
    <t>Settlement (%)</t>
  </si>
  <si>
    <t>Earthwork Calculation (sideslope ratio)</t>
  </si>
  <si>
    <t>Front Slope (Z:1)</t>
  </si>
  <si>
    <t>Back Slope (Z:1)</t>
  </si>
  <si>
    <t>Earthwork Calculation (sideslope width)</t>
  </si>
  <si>
    <t>Front Slope (ft)</t>
  </si>
  <si>
    <t>Back Slope (ft)</t>
  </si>
  <si>
    <t>version 1.00 (04/19/06)</t>
  </si>
  <si>
    <t>POINT_Z</t>
  </si>
  <si>
    <t>POINT_Y</t>
  </si>
  <si>
    <t>POINT_X</t>
  </si>
  <si>
    <t>STATION</t>
  </si>
  <si>
    <t>ID</t>
  </si>
  <si>
    <t>ELEVATION</t>
  </si>
  <si>
    <t>C:\workspace\test2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</si>
</sst>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;\-0;;@"/>
    <numFmt numFmtId="165" formatCode="0;\-0;;@\ "/>
    <numFmt numFmtId="166" formatCode="0.00;\-0.00;;@\ "/>
    <numFmt numFmtId="167" formatCode="0.0"/>
  </numFmts>
  <fonts count="54" x14ac:knownFonts="1">
    <font>
      <sz val="10"/>
      <name val="Arial"/>
    </font>
    <font>
      <b/>
      <sz val="10"/>
      <name val="Arial"/>
      <family val="2"/>
    </font>
    <font>
      <b/>
      <sz val="10"/>
      <color indexed="52"/>
      <name val="Arial"/>
      <family val="2"/>
    </font>
    <font>
      <b/>
      <sz val="9"/>
      <color indexed="52"/>
      <name val="Arial"/>
      <family val="2"/>
    </font>
    <font>
      <b/>
      <sz val="9"/>
      <color indexed="17"/>
      <name val="Arial"/>
      <family val="2"/>
    </font>
    <font>
      <b/>
      <i/>
      <sz val="11"/>
      <color indexed="12"/>
      <name val="Arial"/>
      <family val="2"/>
    </font>
    <font>
      <b/>
      <sz val="12"/>
      <name val="Arial"/>
      <family val="2"/>
    </font>
    <font>
      <b/>
      <sz val="9"/>
      <color indexed="10"/>
      <name val="Arial"/>
      <family val="2"/>
    </font>
    <font>
      <b/>
      <sz val="9"/>
      <name val="Arial"/>
      <family val="2"/>
    </font>
    <font>
      <b/>
      <i/>
      <sz val="10"/>
      <name val="Arial"/>
      <family val="2"/>
    </font>
    <font>
      <sz val="10"/>
      <color indexed="52"/>
      <name val="Arial"/>
      <family val="2"/>
    </font>
    <font>
      <b/>
      <sz val="10"/>
      <name val="Arial"/>
      <family val="2"/>
    </font>
    <font>
      <b/>
      <i/>
      <sz val="10"/>
      <color indexed="8"/>
      <name val="Arial"/>
      <family val="2"/>
    </font>
    <font>
      <u/>
      <sz val="10"/>
      <color indexed="12"/>
      <name val="Arial"/>
      <family val="2"/>
    </font>
    <font>
      <u/>
      <sz val="10"/>
      <color indexed="52"/>
      <name val="Arial"/>
      <family val="2"/>
    </font>
    <font>
      <u/>
      <sz val="10"/>
      <name val="Arial"/>
      <family val="2"/>
    </font>
    <font>
      <b/>
      <i/>
      <u/>
      <sz val="10"/>
      <color indexed="8"/>
      <name val="Arial"/>
      <family val="2"/>
    </font>
    <font>
      <u/>
      <sz val="10"/>
      <color indexed="8"/>
      <name val="Arial"/>
      <family val="2"/>
    </font>
    <font>
      <b/>
      <i/>
      <sz val="7"/>
      <name val="Arial"/>
      <family val="2"/>
    </font>
    <font>
      <b/>
      <i/>
      <sz val="6"/>
      <color indexed="17"/>
      <name val="Arial"/>
      <family val="2"/>
    </font>
    <font>
      <b/>
      <i/>
      <sz val="7"/>
      <color indexed="52"/>
      <name val="Arial"/>
      <family val="2"/>
    </font>
    <font>
      <b/>
      <i/>
      <sz val="7"/>
      <color indexed="10"/>
      <name val="Arial"/>
      <family val="2"/>
    </font>
    <font>
      <sz val="10"/>
      <name val="Arial Narrow"/>
      <family val="2"/>
    </font>
    <font>
      <sz val="8"/>
      <name val="Arial Narrow"/>
      <family val="2"/>
    </font>
    <font>
      <b/>
      <i/>
      <sz val="11"/>
      <name val="Arial Narrow"/>
      <family val="2"/>
    </font>
    <font>
      <b/>
      <i/>
      <sz val="11"/>
      <color indexed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i/>
      <sz val="8"/>
      <color indexed="17"/>
      <name val="Arial"/>
      <family val="2"/>
    </font>
    <font>
      <b/>
      <i/>
      <sz val="9"/>
      <color indexed="17"/>
      <name val="Arial"/>
      <family val="2"/>
    </font>
    <font>
      <sz val="11"/>
      <name val="Arial Narrow"/>
      <family val="2"/>
    </font>
    <font>
      <b/>
      <u/>
      <sz val="14"/>
      <name val="Arial"/>
      <family val="2"/>
    </font>
    <font>
      <b/>
      <sz val="18"/>
      <name val="Arial"/>
      <family val="2"/>
    </font>
    <font>
      <i/>
      <sz val="8"/>
      <name val="Arial"/>
      <family val="2"/>
    </font>
    <font>
      <b/>
      <i/>
      <sz val="12"/>
      <color indexed="17"/>
      <name val="Arial"/>
      <family val="2"/>
    </font>
    <font>
      <sz val="12"/>
      <name val="Arial"/>
      <family val="2"/>
    </font>
    <font>
      <b/>
      <i/>
      <sz val="14"/>
      <color indexed="56"/>
      <name val="Arial"/>
      <family val="2"/>
    </font>
    <font>
      <b/>
      <i/>
      <sz val="13"/>
      <color indexed="56"/>
      <name val="Arial"/>
      <family val="2"/>
    </font>
    <font>
      <sz val="13"/>
      <name val="Arial"/>
      <family val="2"/>
    </font>
    <font>
      <b/>
      <i/>
      <sz val="10"/>
      <color indexed="10"/>
      <name val="Arial Narrow"/>
      <family val="2"/>
    </font>
    <font>
      <b/>
      <i/>
      <sz val="10"/>
      <color indexed="52"/>
      <name val="Arial Narrow"/>
      <family val="2"/>
    </font>
    <font>
      <b/>
      <sz val="13"/>
      <color indexed="52"/>
      <name val="Arial Narrow"/>
      <family val="2"/>
    </font>
    <font>
      <b/>
      <sz val="13"/>
      <color indexed="10"/>
      <name val="Arial Narrow"/>
      <family val="2"/>
    </font>
    <font>
      <b/>
      <i/>
      <sz val="12"/>
      <color indexed="57"/>
      <name val="Arial"/>
      <family val="2"/>
    </font>
    <font>
      <b/>
      <u/>
      <sz val="10"/>
      <color indexed="10"/>
      <name val="Arial"/>
      <family val="2"/>
    </font>
    <font>
      <b/>
      <u/>
      <sz val="10"/>
      <color indexed="52"/>
      <name val="Arial"/>
      <family val="2"/>
    </font>
    <font>
      <b/>
      <u/>
      <sz val="10"/>
      <color indexed="12"/>
      <name val="Arial"/>
      <family val="2"/>
    </font>
    <font>
      <b/>
      <sz val="7"/>
      <name val="Arial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22"/>
        <bgColor indexed="9"/>
      </patternFill>
    </fill>
  </fills>
  <borders count="3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23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23"/>
      </right>
      <top style="medium">
        <color indexed="23"/>
      </top>
      <bottom style="thin">
        <color indexed="64"/>
      </bottom>
      <diagonal/>
    </border>
    <border>
      <left/>
      <right style="medium">
        <color indexed="23"/>
      </right>
      <top style="thin">
        <color indexed="64"/>
      </top>
      <bottom style="thin">
        <color indexed="64"/>
      </bottom>
      <diagonal/>
    </border>
    <border>
      <left style="medium">
        <color indexed="23"/>
      </left>
      <right style="medium">
        <color indexed="23"/>
      </right>
      <top style="thin">
        <color indexed="64"/>
      </top>
      <bottom style="thin">
        <color indexed="64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thin">
        <color indexed="64"/>
      </bottom>
      <diagonal/>
    </border>
    <border>
      <left style="medium">
        <color indexed="23"/>
      </left>
      <right style="medium">
        <color indexed="23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23"/>
      </left>
      <right style="medium">
        <color indexed="23"/>
      </right>
      <top style="medium">
        <color indexed="64"/>
      </top>
      <bottom/>
      <diagonal/>
    </border>
    <border>
      <left style="medium">
        <color indexed="23"/>
      </left>
      <right style="medium">
        <color indexed="23"/>
      </right>
      <top style="thin">
        <color indexed="8"/>
      </top>
      <bottom style="thin">
        <color indexed="8"/>
      </bottom>
      <diagonal/>
    </border>
    <border>
      <left style="medium">
        <color indexed="23"/>
      </left>
      <right style="medium">
        <color indexed="23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23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23"/>
      </top>
      <bottom style="thin">
        <color indexed="64"/>
      </bottom>
      <diagonal/>
    </border>
    <border>
      <left style="thin">
        <color indexed="64"/>
      </left>
      <right style="medium">
        <color indexed="23"/>
      </right>
      <top style="medium">
        <color indexed="23"/>
      </top>
      <bottom style="thin">
        <color indexed="64"/>
      </bottom>
      <diagonal/>
    </border>
    <border>
      <left style="medium">
        <color indexed="23"/>
      </left>
      <right style="thin">
        <color indexed="64"/>
      </right>
      <top style="medium">
        <color indexed="23"/>
      </top>
      <bottom style="thin">
        <color indexed="64"/>
      </bottom>
      <diagonal/>
    </border>
    <border>
      <left style="thick">
        <color indexed="23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23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23"/>
      </right>
      <top style="thin">
        <color indexed="64"/>
      </top>
      <bottom style="thin">
        <color indexed="64"/>
      </bottom>
      <diagonal/>
    </border>
    <border>
      <left style="medium">
        <color indexed="23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47"/>
      </left>
      <right/>
      <top style="thick">
        <color indexed="47"/>
      </top>
      <bottom style="thick">
        <color indexed="23"/>
      </bottom>
      <diagonal/>
    </border>
    <border>
      <left/>
      <right/>
      <top style="thick">
        <color indexed="47"/>
      </top>
      <bottom style="thick">
        <color indexed="2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</cellStyleXfs>
  <cellXfs count="194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Fill="1" applyBorder="1" applyProtection="1"/>
    <xf numFmtId="0" fontId="0" fillId="0" borderId="0" xfId="0" applyFill="1" applyBorder="1" applyProtection="1">
      <protection hidden="1"/>
    </xf>
    <xf numFmtId="0" fontId="1" fillId="0" borderId="0" xfId="0" applyFont="1" applyFill="1" applyBorder="1" applyProtection="1"/>
    <xf numFmtId="0" fontId="2" fillId="0" borderId="0" xfId="0" applyFont="1" applyFill="1" applyBorder="1" applyAlignment="1" applyProtection="1">
      <alignment horizontal="left" vertical="center"/>
    </xf>
    <xf numFmtId="0" fontId="4" fillId="0" borderId="0" xfId="0" applyFont="1" applyFill="1" applyBorder="1" applyProtection="1"/>
    <xf numFmtId="0" fontId="3" fillId="0" borderId="0" xfId="0" applyFont="1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right" vertical="center"/>
    </xf>
    <xf numFmtId="0" fontId="8" fillId="0" borderId="0" xfId="0" applyFont="1" applyFill="1" applyBorder="1" applyAlignment="1" applyProtection="1">
      <alignment horizontal="left" vertical="top"/>
    </xf>
    <xf numFmtId="0" fontId="19" fillId="0" borderId="0" xfId="0" applyFont="1" applyFill="1" applyBorder="1" applyAlignment="1" applyProtection="1">
      <alignment horizontal="center" vertical="center" wrapText="1"/>
    </xf>
    <xf numFmtId="2" fontId="22" fillId="0" borderId="0" xfId="0" applyNumberFormat="1" applyFont="1" applyFill="1" applyBorder="1" applyProtection="1">
      <protection hidden="1"/>
    </xf>
    <xf numFmtId="1" fontId="23" fillId="0" borderId="0" xfId="0" applyNumberFormat="1" applyFont="1" applyFill="1" applyBorder="1" applyAlignment="1">
      <alignment horizontal="center" vertical="center"/>
    </xf>
    <xf numFmtId="0" fontId="22" fillId="0" borderId="0" xfId="0" applyFont="1" applyFill="1" applyBorder="1" applyProtection="1">
      <protection hidden="1"/>
    </xf>
    <xf numFmtId="0" fontId="22" fillId="0" borderId="0" xfId="0" applyFont="1" applyFill="1" applyBorder="1"/>
    <xf numFmtId="0" fontId="18" fillId="0" borderId="0" xfId="0" applyFont="1" applyFill="1" applyBorder="1" applyAlignment="1" applyProtection="1">
      <alignment horizontal="center" vertical="center" wrapText="1"/>
    </xf>
    <xf numFmtId="2" fontId="23" fillId="0" borderId="0" xfId="0" applyNumberFormat="1" applyFont="1" applyFill="1" applyBorder="1" applyAlignment="1" applyProtection="1">
      <alignment horizontal="center" vertical="center"/>
    </xf>
    <xf numFmtId="0" fontId="24" fillId="0" borderId="0" xfId="0" applyFont="1" applyFill="1" applyBorder="1" applyAlignment="1" applyProtection="1">
      <alignment vertical="center" wrapText="1"/>
    </xf>
    <xf numFmtId="0" fontId="16" fillId="0" borderId="0" xfId="0" applyFont="1" applyFill="1" applyBorder="1" applyAlignment="1" applyProtection="1">
      <alignment vertical="center"/>
    </xf>
    <xf numFmtId="0" fontId="17" fillId="0" borderId="0" xfId="0" applyFont="1" applyFill="1" applyBorder="1" applyAlignment="1" applyProtection="1">
      <alignment vertical="center"/>
    </xf>
    <xf numFmtId="0" fontId="33" fillId="0" borderId="0" xfId="0" applyFont="1" applyFill="1" applyAlignment="1" applyProtection="1">
      <alignment vertical="center"/>
    </xf>
    <xf numFmtId="0" fontId="0" fillId="0" borderId="0" xfId="0" applyFill="1" applyAlignment="1">
      <alignment vertical="center" wrapText="1"/>
    </xf>
    <xf numFmtId="0" fontId="13" fillId="0" borderId="0" xfId="0" applyFont="1" applyBorder="1" applyAlignment="1" applyProtection="1">
      <alignment vertical="center"/>
    </xf>
    <xf numFmtId="0" fontId="12" fillId="0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  <protection hidden="1"/>
    </xf>
    <xf numFmtId="0" fontId="0" fillId="0" borderId="0" xfId="0" applyFill="1" applyAlignment="1" applyProtection="1">
      <alignment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0" fontId="0" fillId="0" borderId="0" xfId="0" applyFill="1" applyAlignment="1">
      <alignment vertical="center"/>
    </xf>
    <xf numFmtId="0" fontId="5" fillId="0" borderId="0" xfId="0" applyFont="1" applyFill="1" applyBorder="1" applyAlignment="1" applyProtection="1">
      <alignment vertical="center"/>
    </xf>
    <xf numFmtId="0" fontId="0" fillId="0" borderId="0" xfId="0" applyFill="1" applyBorder="1" applyAlignment="1">
      <alignment vertical="center"/>
    </xf>
    <xf numFmtId="0" fontId="0" fillId="3" borderId="1" xfId="0" applyFill="1" applyBorder="1" applyAlignment="1" applyProtection="1">
      <alignment horizontal="center"/>
      <protection locked="0"/>
    </xf>
    <xf numFmtId="0" fontId="10" fillId="0" borderId="0" xfId="0" applyFont="1" applyFill="1" applyBorder="1" applyAlignment="1" applyProtection="1">
      <alignment vertical="center"/>
    </xf>
    <xf numFmtId="0" fontId="10" fillId="0" borderId="0" xfId="0" applyFont="1" applyFill="1" applyBorder="1" applyAlignment="1">
      <alignment vertical="center"/>
    </xf>
    <xf numFmtId="2" fontId="22" fillId="0" borderId="0" xfId="0" applyNumberFormat="1" applyFont="1" applyFill="1" applyBorder="1" applyAlignment="1">
      <alignment vertical="center"/>
    </xf>
    <xf numFmtId="0" fontId="11" fillId="0" borderId="0" xfId="0" applyFont="1" applyFill="1" applyBorder="1" applyAlignment="1" applyProtection="1">
      <alignment vertical="center"/>
    </xf>
    <xf numFmtId="0" fontId="30" fillId="0" borderId="2" xfId="0" applyFont="1" applyFill="1" applyBorder="1" applyAlignment="1" applyProtection="1">
      <alignment horizontal="center" vertical="center" wrapText="1"/>
    </xf>
    <xf numFmtId="0" fontId="15" fillId="0" borderId="0" xfId="0" applyFont="1" applyBorder="1" applyAlignment="1" applyProtection="1">
      <alignment vertical="center"/>
    </xf>
    <xf numFmtId="0" fontId="14" fillId="0" borderId="0" xfId="0" applyFont="1" applyBorder="1" applyAlignment="1" applyProtection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0" fontId="33" fillId="0" borderId="3" xfId="0" applyFont="1" applyFill="1" applyBorder="1" applyAlignment="1" applyProtection="1">
      <alignment vertical="center"/>
    </xf>
    <xf numFmtId="0" fontId="35" fillId="0" borderId="3" xfId="0" applyFont="1" applyFill="1" applyBorder="1" applyAlignment="1" applyProtection="1">
      <alignment horizontal="right"/>
    </xf>
    <xf numFmtId="0" fontId="0" fillId="0" borderId="0" xfId="0" applyFill="1" applyBorder="1" applyAlignment="1" applyProtection="1">
      <alignment horizontal="left"/>
    </xf>
    <xf numFmtId="1" fontId="23" fillId="0" borderId="4" xfId="0" applyNumberFormat="1" applyFont="1" applyFill="1" applyBorder="1" applyAlignment="1" applyProtection="1">
      <alignment horizontal="center" vertical="center"/>
    </xf>
    <xf numFmtId="0" fontId="35" fillId="0" borderId="5" xfId="0" applyFont="1" applyFill="1" applyBorder="1" applyAlignment="1" applyProtection="1">
      <alignment horizontal="right"/>
    </xf>
    <xf numFmtId="165" fontId="22" fillId="0" borderId="0" xfId="0" applyNumberFormat="1" applyFont="1" applyFill="1" applyBorder="1" applyAlignment="1">
      <alignment vertical="center"/>
    </xf>
    <xf numFmtId="166" fontId="23" fillId="0" borderId="6" xfId="0" applyNumberFormat="1" applyFont="1" applyFill="1" applyBorder="1" applyAlignment="1">
      <alignment horizontal="center" vertical="center"/>
    </xf>
    <xf numFmtId="166" fontId="23" fillId="0" borderId="7" xfId="0" applyNumberFormat="1" applyFont="1" applyFill="1" applyBorder="1" applyAlignment="1">
      <alignment horizontal="center" vertical="center"/>
    </xf>
    <xf numFmtId="166" fontId="23" fillId="0" borderId="8" xfId="0" applyNumberFormat="1" applyFont="1" applyFill="1" applyBorder="1" applyAlignment="1" applyProtection="1">
      <alignment horizontal="center" vertical="center"/>
    </xf>
    <xf numFmtId="165" fontId="22" fillId="0" borderId="0" xfId="0" applyNumberFormat="1" applyFont="1" applyFill="1" applyBorder="1" applyAlignment="1" applyProtection="1">
      <alignment vertical="center"/>
    </xf>
    <xf numFmtId="166" fontId="23" fillId="0" borderId="9" xfId="0" applyNumberFormat="1" applyFont="1" applyFill="1" applyBorder="1" applyAlignment="1" applyProtection="1">
      <alignment horizontal="center" vertical="center"/>
    </xf>
    <xf numFmtId="164" fontId="23" fillId="0" borderId="9" xfId="0" applyNumberFormat="1" applyFont="1" applyFill="1" applyBorder="1" applyAlignment="1">
      <alignment horizontal="center" vertical="center"/>
    </xf>
    <xf numFmtId="164" fontId="23" fillId="0" borderId="8" xfId="0" applyNumberFormat="1" applyFont="1" applyFill="1" applyBorder="1" applyAlignment="1">
      <alignment horizontal="center" vertical="center"/>
    </xf>
    <xf numFmtId="0" fontId="8" fillId="4" borderId="8" xfId="0" applyFont="1" applyFill="1" applyBorder="1" applyAlignment="1" applyProtection="1">
      <alignment horizontal="center"/>
      <protection locked="0"/>
    </xf>
    <xf numFmtId="0" fontId="8" fillId="4" borderId="10" xfId="0" applyFont="1" applyFill="1" applyBorder="1" applyAlignment="1" applyProtection="1">
      <alignment horizontal="center"/>
      <protection locked="0"/>
    </xf>
    <xf numFmtId="0" fontId="49" fillId="0" borderId="11" xfId="0" applyFont="1" applyFill="1" applyBorder="1" applyAlignment="1" applyProtection="1">
      <alignment horizontal="center" vertical="center" wrapText="1"/>
    </xf>
    <xf numFmtId="166" fontId="23" fillId="0" borderId="10" xfId="0" applyNumberFormat="1" applyFont="1" applyFill="1" applyBorder="1" applyAlignment="1" applyProtection="1">
      <alignment horizontal="center" vertical="center"/>
    </xf>
    <xf numFmtId="166" fontId="23" fillId="0" borderId="10" xfId="0" applyNumberFormat="1" applyFont="1" applyFill="1" applyBorder="1" applyAlignment="1">
      <alignment horizontal="center" vertical="center"/>
    </xf>
    <xf numFmtId="167" fontId="23" fillId="0" borderId="4" xfId="0" applyNumberFormat="1" applyFont="1" applyFill="1" applyBorder="1" applyAlignment="1" applyProtection="1">
      <alignment horizontal="center" vertical="center"/>
    </xf>
    <xf numFmtId="0" fontId="26" fillId="0" borderId="0" xfId="0" applyFont="1" applyFill="1" applyAlignment="1" applyProtection="1">
      <alignment vertical="top" wrapText="1"/>
    </xf>
    <xf numFmtId="0" fontId="0" fillId="0" borderId="0" xfId="0" applyFill="1" applyProtection="1"/>
    <xf numFmtId="1" fontId="23" fillId="0" borderId="0" xfId="0" applyNumberFormat="1" applyFont="1" applyFill="1" applyBorder="1" applyAlignment="1" applyProtection="1">
      <alignment horizontal="center" vertical="center"/>
    </xf>
    <xf numFmtId="0" fontId="0" fillId="0" borderId="0" xfId="0" applyProtection="1"/>
    <xf numFmtId="164" fontId="23" fillId="0" borderId="9" xfId="0" applyNumberFormat="1" applyFont="1" applyFill="1" applyBorder="1" applyAlignment="1" applyProtection="1">
      <alignment horizontal="center" vertical="center"/>
    </xf>
    <xf numFmtId="0" fontId="22" fillId="0" borderId="0" xfId="0" applyFont="1" applyFill="1" applyBorder="1" applyProtection="1"/>
    <xf numFmtId="166" fontId="23" fillId="0" borderId="6" xfId="0" applyNumberFormat="1" applyFont="1" applyFill="1" applyBorder="1" applyAlignment="1" applyProtection="1">
      <alignment horizontal="center" vertical="center"/>
    </xf>
    <xf numFmtId="164" fontId="23" fillId="0" borderId="8" xfId="0" applyNumberFormat="1" applyFont="1" applyFill="1" applyBorder="1" applyAlignment="1" applyProtection="1">
      <alignment horizontal="center" vertical="center"/>
    </xf>
    <xf numFmtId="166" fontId="23" fillId="0" borderId="7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 applyProtection="1">
      <alignment horizontal="right"/>
    </xf>
    <xf numFmtId="0" fontId="9" fillId="0" borderId="0" xfId="0" applyFont="1" applyFill="1" applyBorder="1" applyAlignment="1" applyProtection="1">
      <alignment vertical="center"/>
    </xf>
    <xf numFmtId="0" fontId="11" fillId="0" borderId="0" xfId="0" applyFont="1" applyFill="1" applyBorder="1" applyAlignment="1" applyProtection="1"/>
    <xf numFmtId="2" fontId="11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center" vertical="center"/>
    </xf>
    <xf numFmtId="0" fontId="11" fillId="0" borderId="0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vertical="center"/>
    </xf>
    <xf numFmtId="0" fontId="11" fillId="0" borderId="0" xfId="0" applyFont="1" applyFill="1" applyBorder="1" applyAlignment="1" applyProtection="1">
      <alignment horizontal="left"/>
    </xf>
    <xf numFmtId="0" fontId="0" fillId="0" borderId="0" xfId="0" applyAlignment="1" applyProtection="1">
      <alignment horizontal="left"/>
    </xf>
    <xf numFmtId="0" fontId="0" fillId="0" borderId="0" xfId="0" applyFill="1" applyBorder="1" applyAlignment="1" applyProtection="1">
      <alignment vertical="center"/>
    </xf>
    <xf numFmtId="0" fontId="11" fillId="0" borderId="0" xfId="0" applyFont="1" applyAlignment="1" applyProtection="1">
      <alignment horizontal="right"/>
    </xf>
    <xf numFmtId="0" fontId="0" fillId="0" borderId="0" xfId="0" applyBorder="1" applyProtection="1"/>
    <xf numFmtId="0" fontId="0" fillId="0" borderId="0" xfId="0" applyFill="1" applyBorder="1" applyAlignment="1" applyProtection="1"/>
    <xf numFmtId="0" fontId="6" fillId="0" borderId="0" xfId="0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right"/>
    </xf>
    <xf numFmtId="0" fontId="11" fillId="0" borderId="0" xfId="0" applyNumberFormat="1" applyFont="1" applyFill="1" applyBorder="1" applyAlignment="1" applyProtection="1">
      <alignment vertical="center"/>
    </xf>
    <xf numFmtId="0" fontId="25" fillId="0" borderId="0" xfId="0" applyFont="1" applyFill="1" applyBorder="1" applyAlignment="1" applyProtection="1">
      <alignment vertical="center" wrapText="1"/>
    </xf>
    <xf numFmtId="0" fontId="25" fillId="0" borderId="0" xfId="0" applyFont="1" applyFill="1" applyAlignment="1" applyProtection="1">
      <alignment vertical="center" wrapText="1"/>
    </xf>
    <xf numFmtId="0" fontId="8" fillId="4" borderId="12" xfId="0" applyFont="1" applyFill="1" applyBorder="1" applyAlignment="1" applyProtection="1">
      <alignment horizontal="center"/>
      <protection locked="0"/>
    </xf>
    <xf numFmtId="0" fontId="8" fillId="4" borderId="13" xfId="0" applyFont="1" applyFill="1" applyBorder="1" applyAlignment="1" applyProtection="1">
      <alignment horizontal="center"/>
      <protection locked="0"/>
    </xf>
    <xf numFmtId="0" fontId="8" fillId="4" borderId="14" xfId="0" applyFont="1" applyFill="1" applyBorder="1" applyAlignment="1" applyProtection="1">
      <alignment horizontal="center"/>
      <protection locked="0"/>
    </xf>
    <xf numFmtId="0" fontId="51" fillId="0" borderId="0" xfId="1"/>
    <xf numFmtId="0" fontId="52" fillId="0" borderId="0" xfId="1" applyFont="1" applyFill="1" applyBorder="1" applyAlignment="1" applyProtection="1"/>
    <xf numFmtId="1" fontId="52" fillId="0" borderId="0" xfId="1" applyNumberFormat="1" applyFont="1" applyFill="1" applyBorder="1" applyAlignment="1" applyProtection="1"/>
    <xf numFmtId="0" fontId="11" fillId="2" borderId="0" xfId="1" applyFont="1" applyFill="1" applyBorder="1" applyAlignment="1" applyProtection="1">
      <alignment horizontal="center"/>
    </xf>
    <xf numFmtId="0" fontId="52" fillId="0" borderId="0" xfId="2"/>
    <xf numFmtId="0" fontId="52" fillId="0" borderId="0" xfId="2" applyFont="1" applyFill="1" applyBorder="1" applyAlignment="1" applyProtection="1"/>
    <xf numFmtId="1" fontId="52" fillId="0" borderId="0" xfId="2" applyNumberFormat="1" applyFont="1" applyFill="1" applyBorder="1" applyAlignment="1" applyProtection="1"/>
    <xf numFmtId="0" fontId="11" fillId="2" borderId="0" xfId="2" applyFont="1" applyFill="1" applyBorder="1" applyAlignment="1" applyProtection="1">
      <alignment horizontal="center"/>
    </xf>
    <xf numFmtId="0" fontId="1" fillId="2" borderId="0" xfId="1" applyFont="1" applyFill="1" applyBorder="1" applyAlignment="1" applyProtection="1">
      <alignment horizontal="center"/>
    </xf>
    <xf numFmtId="1" fontId="8" fillId="4" borderId="8" xfId="0" applyNumberFormat="1" applyFont="1" applyFill="1" applyBorder="1" applyAlignment="1" applyProtection="1">
      <alignment horizontal="center"/>
      <protection locked="0"/>
    </xf>
    <xf numFmtId="0" fontId="51" fillId="0" borderId="0" xfId="0" applyFont="1"/>
    <xf numFmtId="0" fontId="34" fillId="0" borderId="15" xfId="0" applyFont="1" applyFill="1" applyBorder="1" applyAlignment="1" applyProtection="1">
      <alignment horizontal="left"/>
    </xf>
    <xf numFmtId="0" fontId="34" fillId="0" borderId="3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center" vertical="center"/>
    </xf>
    <xf numFmtId="0" fontId="11" fillId="0" borderId="0" xfId="0" applyFont="1" applyFill="1" applyAlignment="1" applyProtection="1">
      <alignment horizontal="left"/>
    </xf>
    <xf numFmtId="0" fontId="6" fillId="3" borderId="1" xfId="0" applyFont="1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left"/>
    </xf>
    <xf numFmtId="0" fontId="0" fillId="3" borderId="1" xfId="0" applyFill="1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8" fillId="0" borderId="0" xfId="0" applyFont="1" applyFill="1" applyBorder="1" applyAlignment="1" applyProtection="1">
      <alignment horizontal="center" vertical="center"/>
    </xf>
    <xf numFmtId="167" fontId="11" fillId="3" borderId="2" xfId="0" applyNumberFormat="1" applyFont="1" applyFill="1" applyBorder="1" applyAlignment="1" applyProtection="1">
      <alignment horizontal="center" vertical="center"/>
      <protection locked="0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48" fillId="0" borderId="15" xfId="0" applyFont="1" applyFill="1" applyBorder="1" applyAlignment="1" applyProtection="1">
      <alignment horizontal="center" vertical="center"/>
    </xf>
    <xf numFmtId="0" fontId="48" fillId="0" borderId="3" xfId="0" applyFont="1" applyFill="1" applyBorder="1" applyAlignment="1" applyProtection="1">
      <alignment horizontal="center" vertical="center"/>
    </xf>
    <xf numFmtId="0" fontId="48" fillId="0" borderId="5" xfId="0" applyFont="1" applyFill="1" applyBorder="1" applyAlignment="1" applyProtection="1">
      <alignment horizontal="center" vertical="center"/>
    </xf>
    <xf numFmtId="0" fontId="47" fillId="0" borderId="15" xfId="0" applyFont="1" applyFill="1" applyBorder="1" applyAlignment="1" applyProtection="1">
      <alignment horizontal="center" vertical="center"/>
    </xf>
    <xf numFmtId="0" fontId="47" fillId="0" borderId="3" xfId="0" applyFont="1" applyFill="1" applyBorder="1" applyAlignment="1" applyProtection="1">
      <alignment horizontal="center" vertical="center"/>
    </xf>
    <xf numFmtId="0" fontId="47" fillId="0" borderId="5" xfId="0" applyFont="1" applyFill="1" applyBorder="1" applyAlignment="1" applyProtection="1">
      <alignment horizontal="center" vertical="center"/>
    </xf>
    <xf numFmtId="0" fontId="46" fillId="0" borderId="15" xfId="0" applyFont="1" applyFill="1" applyBorder="1" applyAlignment="1" applyProtection="1">
      <alignment horizontal="center" vertical="center"/>
    </xf>
    <xf numFmtId="0" fontId="46" fillId="0" borderId="3" xfId="0" applyFont="1" applyFill="1" applyBorder="1" applyAlignment="1" applyProtection="1">
      <alignment horizontal="center" vertical="center"/>
    </xf>
    <xf numFmtId="0" fontId="46" fillId="0" borderId="5" xfId="0" applyFont="1" applyFill="1" applyBorder="1" applyAlignment="1" applyProtection="1">
      <alignment horizontal="center" vertical="center"/>
    </xf>
    <xf numFmtId="0" fontId="30" fillId="0" borderId="2" xfId="0" applyFont="1" applyFill="1" applyBorder="1" applyAlignment="1" applyProtection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49" fillId="0" borderId="15" xfId="0" applyFont="1" applyFill="1" applyBorder="1" applyAlignment="1" applyProtection="1">
      <alignment horizontal="center" vertical="center" wrapText="1"/>
    </xf>
    <xf numFmtId="0" fontId="49" fillId="0" borderId="5" xfId="0" applyFont="1" applyFill="1" applyBorder="1" applyAlignment="1" applyProtection="1">
      <alignment horizontal="center" vertical="center" wrapText="1"/>
    </xf>
    <xf numFmtId="0" fontId="20" fillId="0" borderId="2" xfId="0" applyFont="1" applyFill="1" applyBorder="1" applyAlignment="1" applyProtection="1">
      <alignment horizontal="center" vertical="center" wrapText="1"/>
    </xf>
    <xf numFmtId="0" fontId="21" fillId="0" borderId="2" xfId="0" applyFont="1" applyFill="1" applyBorder="1" applyAlignment="1" applyProtection="1">
      <alignment horizontal="center" vertical="center" wrapText="1"/>
    </xf>
    <xf numFmtId="166" fontId="23" fillId="0" borderId="1" xfId="0" applyNumberFormat="1" applyFont="1" applyFill="1" applyBorder="1" applyAlignment="1" applyProtection="1">
      <alignment horizontal="center" vertical="center"/>
    </xf>
    <xf numFmtId="166" fontId="23" fillId="0" borderId="17" xfId="0" applyNumberFormat="1" applyFont="1" applyFill="1" applyBorder="1" applyAlignment="1" applyProtection="1">
      <alignment horizontal="center" vertical="center"/>
    </xf>
    <xf numFmtId="165" fontId="22" fillId="0" borderId="0" xfId="0" applyNumberFormat="1" applyFont="1" applyFill="1" applyBorder="1" applyAlignment="1" applyProtection="1">
      <alignment horizontal="center" vertical="center"/>
    </xf>
    <xf numFmtId="165" fontId="0" fillId="0" borderId="0" xfId="0" applyNumberFormat="1" applyBorder="1" applyAlignment="1" applyProtection="1">
      <alignment horizontal="center"/>
    </xf>
    <xf numFmtId="2" fontId="22" fillId="0" borderId="1" xfId="0" applyNumberFormat="1" applyFont="1" applyFill="1" applyBorder="1" applyAlignment="1" applyProtection="1">
      <alignment horizontal="center" vertical="center"/>
    </xf>
    <xf numFmtId="2" fontId="22" fillId="0" borderId="1" xfId="0" applyNumberFormat="1" applyFont="1" applyFill="1" applyBorder="1" applyAlignment="1">
      <alignment horizontal="center" vertical="center"/>
    </xf>
    <xf numFmtId="166" fontId="23" fillId="0" borderId="16" xfId="0" applyNumberFormat="1" applyFont="1" applyFill="1" applyBorder="1" applyAlignment="1" applyProtection="1">
      <alignment horizontal="center" vertical="center"/>
    </xf>
    <xf numFmtId="166" fontId="23" fillId="0" borderId="18" xfId="0" applyNumberFormat="1" applyFont="1" applyFill="1" applyBorder="1" applyAlignment="1" applyProtection="1">
      <alignment horizontal="center" vertical="center"/>
    </xf>
    <xf numFmtId="166" fontId="23" fillId="0" borderId="19" xfId="0" applyNumberFormat="1" applyFont="1" applyFill="1" applyBorder="1" applyAlignment="1" applyProtection="1">
      <alignment horizontal="center" vertical="center"/>
    </xf>
    <xf numFmtId="166" fontId="23" fillId="0" borderId="20" xfId="0" applyNumberFormat="1" applyFont="1" applyFill="1" applyBorder="1" applyAlignment="1" applyProtection="1">
      <alignment horizontal="center" vertical="center"/>
    </xf>
    <xf numFmtId="2" fontId="23" fillId="0" borderId="21" xfId="0" applyNumberFormat="1" applyFont="1" applyFill="1" applyBorder="1" applyAlignment="1" applyProtection="1">
      <alignment horizontal="center" vertical="center"/>
    </xf>
    <xf numFmtId="2" fontId="23" fillId="0" borderId="22" xfId="0" applyNumberFormat="1" applyFont="1" applyFill="1" applyBorder="1" applyAlignment="1" applyProtection="1">
      <alignment horizontal="center" vertical="center"/>
    </xf>
    <xf numFmtId="2" fontId="23" fillId="0" borderId="21" xfId="0" applyNumberFormat="1" applyFont="1" applyFill="1" applyBorder="1" applyAlignment="1">
      <alignment horizontal="center" vertical="center"/>
    </xf>
    <xf numFmtId="2" fontId="23" fillId="0" borderId="22" xfId="0" applyNumberFormat="1" applyFont="1" applyFill="1" applyBorder="1" applyAlignment="1">
      <alignment horizontal="center" vertical="center"/>
    </xf>
    <xf numFmtId="1" fontId="23" fillId="0" borderId="21" xfId="0" applyNumberFormat="1" applyFont="1" applyFill="1" applyBorder="1" applyAlignment="1" applyProtection="1">
      <alignment horizontal="center" vertical="center"/>
    </xf>
    <xf numFmtId="1" fontId="22" fillId="0" borderId="23" xfId="0" applyNumberFormat="1" applyFont="1" applyFill="1" applyBorder="1" applyAlignment="1">
      <alignment horizontal="center" vertical="center"/>
    </xf>
    <xf numFmtId="166" fontId="23" fillId="0" borderId="23" xfId="0" applyNumberFormat="1" applyFont="1" applyFill="1" applyBorder="1" applyAlignment="1" applyProtection="1">
      <alignment horizontal="center" vertical="center"/>
    </xf>
    <xf numFmtId="166" fontId="23" fillId="0" borderId="24" xfId="0" applyNumberFormat="1" applyFont="1" applyFill="1" applyBorder="1" applyAlignment="1" applyProtection="1">
      <alignment horizontal="center" vertical="center"/>
    </xf>
    <xf numFmtId="166" fontId="23" fillId="0" borderId="25" xfId="0" applyNumberFormat="1" applyFont="1" applyFill="1" applyBorder="1" applyAlignment="1" applyProtection="1">
      <alignment horizontal="center" vertical="center"/>
    </xf>
    <xf numFmtId="1" fontId="22" fillId="0" borderId="23" xfId="0" applyNumberFormat="1" applyFont="1" applyFill="1" applyBorder="1" applyAlignment="1" applyProtection="1">
      <alignment horizontal="center" vertical="center"/>
    </xf>
    <xf numFmtId="2" fontId="44" fillId="0" borderId="26" xfId="0" applyNumberFormat="1" applyFont="1" applyFill="1" applyBorder="1" applyAlignment="1" applyProtection="1">
      <alignment horizontal="center" vertical="center"/>
    </xf>
    <xf numFmtId="2" fontId="44" fillId="0" borderId="27" xfId="0" applyNumberFormat="1" applyFont="1" applyFill="1" applyBorder="1" applyAlignment="1" applyProtection="1">
      <alignment horizontal="center" vertical="center"/>
    </xf>
    <xf numFmtId="2" fontId="44" fillId="0" borderId="28" xfId="0" applyNumberFormat="1" applyFont="1" applyFill="1" applyBorder="1" applyAlignment="1" applyProtection="1">
      <alignment horizontal="center" vertical="center"/>
    </xf>
    <xf numFmtId="2" fontId="44" fillId="0" borderId="29" xfId="0" applyNumberFormat="1" applyFont="1" applyFill="1" applyBorder="1" applyAlignment="1" applyProtection="1">
      <alignment horizontal="center" vertical="center"/>
    </xf>
    <xf numFmtId="0" fontId="31" fillId="5" borderId="30" xfId="0" applyFont="1" applyFill="1" applyBorder="1" applyAlignment="1" applyProtection="1">
      <alignment horizontal="center" vertical="center" wrapText="1"/>
    </xf>
    <xf numFmtId="0" fontId="31" fillId="5" borderId="31" xfId="0" applyFont="1" applyFill="1" applyBorder="1" applyAlignment="1" applyProtection="1">
      <alignment horizontal="center" vertical="center" wrapText="1"/>
    </xf>
    <xf numFmtId="2" fontId="32" fillId="0" borderId="0" xfId="0" applyNumberFormat="1" applyFont="1" applyFill="1" applyBorder="1" applyAlignment="1" applyProtection="1">
      <alignment horizontal="center" vertical="center"/>
    </xf>
    <xf numFmtId="0" fontId="39" fillId="0" borderId="15" xfId="0" applyFont="1" applyFill="1" applyBorder="1" applyAlignment="1" applyProtection="1">
      <alignment horizontal="center" vertical="center"/>
    </xf>
    <xf numFmtId="0" fontId="40" fillId="0" borderId="3" xfId="0" applyFont="1" applyFill="1" applyBorder="1"/>
    <xf numFmtId="0" fontId="40" fillId="0" borderId="5" xfId="0" applyFont="1" applyFill="1" applyBorder="1"/>
    <xf numFmtId="2" fontId="38" fillId="0" borderId="15" xfId="0" applyNumberFormat="1" applyFont="1" applyFill="1" applyBorder="1" applyAlignment="1" applyProtection="1">
      <alignment horizontal="center" vertical="center"/>
    </xf>
    <xf numFmtId="2" fontId="38" fillId="0" borderId="3" xfId="0" applyNumberFormat="1" applyFont="1" applyFill="1" applyBorder="1" applyAlignment="1" applyProtection="1">
      <alignment horizontal="center" vertical="center"/>
    </xf>
    <xf numFmtId="2" fontId="38" fillId="0" borderId="5" xfId="0" applyNumberFormat="1" applyFont="1" applyFill="1" applyBorder="1" applyAlignment="1" applyProtection="1">
      <alignment horizontal="center" vertical="center"/>
    </xf>
    <xf numFmtId="0" fontId="36" fillId="0" borderId="32" xfId="0" applyFont="1" applyFill="1" applyBorder="1" applyAlignment="1" applyProtection="1">
      <alignment horizontal="center" vertical="center"/>
    </xf>
    <xf numFmtId="0" fontId="37" fillId="0" borderId="26" xfId="0" applyFont="1" applyFill="1" applyBorder="1"/>
    <xf numFmtId="0" fontId="37" fillId="0" borderId="27" xfId="0" applyFont="1" applyFill="1" applyBorder="1"/>
    <xf numFmtId="0" fontId="37" fillId="0" borderId="33" xfId="0" applyFont="1" applyFill="1" applyBorder="1"/>
    <xf numFmtId="0" fontId="37" fillId="0" borderId="28" xfId="0" applyFont="1" applyFill="1" applyBorder="1"/>
    <xf numFmtId="0" fontId="37" fillId="0" borderId="29" xfId="0" applyFont="1" applyFill="1" applyBorder="1"/>
    <xf numFmtId="2" fontId="45" fillId="0" borderId="32" xfId="0" applyNumberFormat="1" applyFont="1" applyFill="1" applyBorder="1" applyAlignment="1" applyProtection="1">
      <alignment horizontal="center" vertical="center"/>
    </xf>
    <xf numFmtId="2" fontId="45" fillId="0" borderId="26" xfId="0" applyNumberFormat="1" applyFont="1" applyFill="1" applyBorder="1" applyAlignment="1" applyProtection="1">
      <alignment horizontal="center" vertical="center"/>
    </xf>
    <xf numFmtId="2" fontId="45" fillId="0" borderId="27" xfId="0" applyNumberFormat="1" applyFont="1" applyFill="1" applyBorder="1" applyAlignment="1" applyProtection="1">
      <alignment horizontal="center" vertical="center"/>
    </xf>
    <xf numFmtId="2" fontId="45" fillId="0" borderId="33" xfId="0" applyNumberFormat="1" applyFont="1" applyFill="1" applyBorder="1" applyAlignment="1" applyProtection="1">
      <alignment horizontal="center" vertical="center"/>
    </xf>
    <xf numFmtId="2" fontId="45" fillId="0" borderId="28" xfId="0" applyNumberFormat="1" applyFont="1" applyFill="1" applyBorder="1" applyAlignment="1" applyProtection="1">
      <alignment horizontal="center" vertical="center"/>
    </xf>
    <xf numFmtId="2" fontId="45" fillId="0" borderId="29" xfId="0" applyNumberFormat="1" applyFont="1" applyFill="1" applyBorder="1" applyAlignment="1" applyProtection="1">
      <alignment horizontal="center" vertical="center"/>
    </xf>
    <xf numFmtId="0" fontId="42" fillId="0" borderId="32" xfId="0" applyFont="1" applyFill="1" applyBorder="1" applyAlignment="1" applyProtection="1">
      <alignment horizontal="center" vertical="center"/>
    </xf>
    <xf numFmtId="0" fontId="42" fillId="0" borderId="26" xfId="0" applyFont="1" applyFill="1" applyBorder="1" applyAlignment="1" applyProtection="1">
      <alignment horizontal="center" vertical="center"/>
    </xf>
    <xf numFmtId="0" fontId="42" fillId="0" borderId="33" xfId="0" applyFont="1" applyFill="1" applyBorder="1" applyAlignment="1" applyProtection="1">
      <alignment horizontal="center" vertical="center"/>
    </xf>
    <xf numFmtId="0" fontId="42" fillId="0" borderId="28" xfId="0" applyFont="1" applyFill="1" applyBorder="1" applyAlignment="1" applyProtection="1">
      <alignment horizontal="center" vertical="center"/>
    </xf>
    <xf numFmtId="2" fontId="43" fillId="0" borderId="26" xfId="0" applyNumberFormat="1" applyFont="1" applyFill="1" applyBorder="1" applyAlignment="1" applyProtection="1">
      <alignment horizontal="center" vertical="center"/>
    </xf>
    <xf numFmtId="2" fontId="43" fillId="0" borderId="27" xfId="0" applyNumberFormat="1" applyFont="1" applyFill="1" applyBorder="1" applyAlignment="1" applyProtection="1">
      <alignment horizontal="center" vertical="center"/>
    </xf>
    <xf numFmtId="2" fontId="43" fillId="0" borderId="28" xfId="0" applyNumberFormat="1" applyFont="1" applyFill="1" applyBorder="1" applyAlignment="1" applyProtection="1">
      <alignment horizontal="center" vertical="center"/>
    </xf>
    <xf numFmtId="2" fontId="43" fillId="0" borderId="29" xfId="0" applyNumberFormat="1" applyFont="1" applyFill="1" applyBorder="1" applyAlignment="1" applyProtection="1">
      <alignment horizontal="center" vertical="center"/>
    </xf>
    <xf numFmtId="0" fontId="41" fillId="0" borderId="32" xfId="0" applyFont="1" applyFill="1" applyBorder="1" applyAlignment="1" applyProtection="1">
      <alignment horizontal="center" vertical="center" wrapText="1"/>
    </xf>
    <xf numFmtId="0" fontId="41" fillId="0" borderId="26" xfId="0" applyFont="1" applyFill="1" applyBorder="1" applyAlignment="1" applyProtection="1">
      <alignment horizontal="center" vertical="center" wrapText="1"/>
    </xf>
    <xf numFmtId="0" fontId="41" fillId="0" borderId="33" xfId="0" applyFont="1" applyFill="1" applyBorder="1" applyAlignment="1" applyProtection="1">
      <alignment horizontal="center" vertical="center" wrapText="1"/>
    </xf>
    <xf numFmtId="0" fontId="41" fillId="0" borderId="28" xfId="0" applyFont="1" applyFill="1" applyBorder="1" applyAlignment="1" applyProtection="1">
      <alignment horizontal="center" vertical="center" wrapText="1"/>
    </xf>
    <xf numFmtId="166" fontId="23" fillId="0" borderId="23" xfId="0" applyNumberFormat="1" applyFont="1" applyFill="1" applyBorder="1" applyAlignment="1">
      <alignment horizontal="center" vertical="center"/>
    </xf>
    <xf numFmtId="166" fontId="23" fillId="0" borderId="24" xfId="0" applyNumberFormat="1" applyFont="1" applyFill="1" applyBorder="1" applyAlignment="1">
      <alignment horizontal="center" vertical="center"/>
    </xf>
    <xf numFmtId="166" fontId="23" fillId="0" borderId="25" xfId="0" applyNumberFormat="1" applyFont="1" applyFill="1" applyBorder="1" applyAlignment="1">
      <alignment horizontal="center" vertical="center"/>
    </xf>
    <xf numFmtId="165" fontId="0" fillId="0" borderId="0" xfId="0" applyNumberFormat="1" applyBorder="1" applyAlignment="1">
      <alignment horizontal="center"/>
    </xf>
    <xf numFmtId="166" fontId="23" fillId="0" borderId="20" xfId="0" applyNumberFormat="1" applyFont="1" applyFill="1" applyBorder="1" applyAlignment="1">
      <alignment horizontal="center" vertical="center"/>
    </xf>
    <xf numFmtId="166" fontId="23" fillId="0" borderId="19" xfId="0" applyNumberFormat="1" applyFont="1" applyFill="1" applyBorder="1" applyAlignment="1">
      <alignment horizontal="center" vertical="center"/>
    </xf>
    <xf numFmtId="166" fontId="23" fillId="0" borderId="18" xfId="0" applyNumberFormat="1" applyFont="1" applyFill="1" applyBorder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Tile Profile</a:t>
            </a:r>
          </a:p>
        </c:rich>
      </c:tx>
      <c:layout>
        <c:manualLayout>
          <c:xMode val="edge"/>
          <c:yMode val="edge"/>
          <c:x val="0.45029821073558646"/>
          <c:y val="1.97889182058047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648111332007952E-2"/>
          <c:y val="7.9155672823219003E-2"/>
          <c:w val="0.77634194831013914"/>
          <c:h val="0.76781002638522422"/>
        </c:manualLayout>
      </c:layout>
      <c:scatterChart>
        <c:scatterStyle val="lineMarker"/>
        <c:varyColors val="0"/>
        <c:ser>
          <c:idx val="1"/>
          <c:order val="0"/>
          <c:tx>
            <c:v>Tile Profile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xVal>
            <c:numRef>
              <c:f>'tile profile points'!$B$2:$B$118</c:f>
              <c:numCache>
                <c:formatCode>0</c:formatCode>
                <c:ptCount val="117"/>
              </c:numCache>
            </c:numRef>
          </c:xVal>
          <c:yVal>
            <c:numRef>
              <c:f>'tile profile points'!$E$2:$E$118</c:f>
              <c:numCache>
                <c:formatCode>General</c:formatCode>
                <c:ptCount val="11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3862600"/>
        <c:axId val="913862992"/>
      </c:scatterChart>
      <c:valAx>
        <c:axId val="9138626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2">
                  <a:lumMod val="75000"/>
                </a:schemeClr>
              </a:solidFill>
              <a:prstDash val="dash"/>
            </a:ln>
          </c:spPr>
        </c:min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Station</a:t>
                </a:r>
              </a:p>
            </c:rich>
          </c:tx>
          <c:layout>
            <c:manualLayout>
              <c:xMode val="edge"/>
              <c:yMode val="edge"/>
              <c:x val="0.42445328031809143"/>
              <c:y val="0.8865435356200527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3862992"/>
        <c:crossesAt val="0"/>
        <c:crossBetween val="midCat"/>
        <c:majorUnit val="100"/>
        <c:minorUnit val="20"/>
      </c:valAx>
      <c:valAx>
        <c:axId val="9138629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accent2"/>
              </a:solidFill>
              <a:prstDash val="dash"/>
            </a:ln>
          </c:spPr>
        </c:min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Elevation</a:t>
                </a:r>
              </a:p>
            </c:rich>
          </c:tx>
          <c:layout>
            <c:manualLayout>
              <c:xMode val="edge"/>
              <c:yMode val="edge"/>
              <c:x val="9.9403578528827028E-4"/>
              <c:y val="0.4274406332453825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3862600"/>
        <c:crossesAt val="-600"/>
        <c:crossBetween val="midCat"/>
        <c:majorUnit val="1"/>
        <c:minorUnit val="0.2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45328031809145131"/>
          <c:y val="0.97097625329815307"/>
          <c:w val="0.12823061630218688"/>
          <c:h val="3.034300791556728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Ridge CL Profile</a:t>
            </a:r>
          </a:p>
        </c:rich>
      </c:tx>
      <c:layout>
        <c:manualLayout>
          <c:xMode val="edge"/>
          <c:yMode val="edge"/>
          <c:x val="0.45029821073558646"/>
          <c:y val="1.97889182058047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648111332007952E-2"/>
          <c:y val="7.9155672823219003E-2"/>
          <c:w val="0.77634194831013914"/>
          <c:h val="0.76781002638522422"/>
        </c:manualLayout>
      </c:layout>
      <c:scatterChart>
        <c:scatterStyle val="lineMarker"/>
        <c:varyColors val="0"/>
        <c:ser>
          <c:idx val="1"/>
          <c:order val="0"/>
          <c:tx>
            <c:v>Ridge CL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xVal>
            <c:numRef>
              <c:f>'Ridge CL points'!$B$2:$B$118</c:f>
              <c:numCache>
                <c:formatCode>0</c:formatCode>
                <c:ptCount val="117"/>
              </c:numCache>
            </c:numRef>
          </c:xVal>
          <c:yVal>
            <c:numRef>
              <c:f>'Ridge CL points'!$E$2:$E$118</c:f>
              <c:numCache>
                <c:formatCode>General</c:formatCode>
                <c:ptCount val="117"/>
              </c:numCache>
            </c:numRef>
          </c:y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3863776"/>
        <c:axId val="913864168"/>
      </c:scatterChart>
      <c:valAx>
        <c:axId val="9138637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2">
                  <a:lumMod val="75000"/>
                </a:schemeClr>
              </a:solidFill>
              <a:prstDash val="dash"/>
            </a:ln>
          </c:spPr>
        </c:min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Station</a:t>
                </a:r>
              </a:p>
            </c:rich>
          </c:tx>
          <c:layout>
            <c:manualLayout>
              <c:xMode val="edge"/>
              <c:yMode val="edge"/>
              <c:x val="0.42445328031809143"/>
              <c:y val="0.8865435356200527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3864168"/>
        <c:crossesAt val="0"/>
        <c:crossBetween val="midCat"/>
        <c:majorUnit val="50"/>
        <c:minorUnit val="10"/>
      </c:valAx>
      <c:valAx>
        <c:axId val="9138641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accent2"/>
              </a:solidFill>
              <a:prstDash val="dash"/>
            </a:ln>
          </c:spPr>
        </c:min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Elevation</a:t>
                </a:r>
              </a:p>
            </c:rich>
          </c:tx>
          <c:layout>
            <c:manualLayout>
              <c:xMode val="edge"/>
              <c:yMode val="edge"/>
              <c:x val="9.9403578528827028E-4"/>
              <c:y val="0.4274406332453825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3863776"/>
        <c:crossesAt val="-600"/>
        <c:crossBetween val="midCat"/>
        <c:majorUnit val="1"/>
        <c:minorUnit val="0.2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45328031809145131"/>
          <c:y val="0.97097625329815307"/>
          <c:w val="0.12823061630218688"/>
          <c:h val="3.034300791556728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106" workbookViewId="0"/>
  </sheetViews>
  <pageMargins left="0.7" right="0.7" top="0.75" bottom="0.75" header="0.3" footer="0.3"/>
  <pageSetup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6"/>
  <sheetViews>
    <sheetView zoomScale="117" workbookViewId="0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7</xdr:row>
          <xdr:rowOff>85725</xdr:rowOff>
        </xdr:from>
        <xdr:to>
          <xdr:col>10</xdr:col>
          <xdr:colOff>0</xdr:colOff>
          <xdr:row>8</xdr:row>
          <xdr:rowOff>123825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Data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4</xdr:row>
          <xdr:rowOff>85725</xdr:rowOff>
        </xdr:from>
        <xdr:to>
          <xdr:col>10</xdr:col>
          <xdr:colOff>0</xdr:colOff>
          <xdr:row>5</xdr:row>
          <xdr:rowOff>123825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Path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1344" cy="629908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0.8525</cdr:x>
      <cdr:y>0.004</cdr:y>
    </cdr:from>
    <cdr:to>
      <cdr:x>0.9995</cdr:x>
      <cdr:y>0.03475</cdr:y>
    </cdr:to>
    <cdr:sp macro="" textlink="" fLocksText="0">
      <cdr:nvSpPr>
        <cdr:cNvPr id="6348" name="Text Box 20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168783" y="28880"/>
          <a:ext cx="1408576" cy="222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0" rIns="27432" bIns="22860" anchor="b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Sheet _____of_____</a:t>
          </a:r>
        </a:p>
      </cdr:txBody>
    </cdr:sp>
  </cdr:relSizeAnchor>
  <cdr:relSizeAnchor xmlns:cdr="http://schemas.openxmlformats.org/drawingml/2006/chartDrawing">
    <cdr:from>
      <cdr:x>0.85375</cdr:x>
      <cdr:y>0</cdr:y>
    </cdr:from>
    <cdr:to>
      <cdr:x>0.9995</cdr:x>
      <cdr:y>0.9975</cdr:y>
    </cdr:to>
    <cdr:sp macro="" textlink="">
      <cdr:nvSpPr>
        <cdr:cNvPr id="6148" name="Rectangle 4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180761" y="0"/>
          <a:ext cx="1396598" cy="72019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cdr:spPr>
    </cdr:sp>
  </cdr:relSizeAnchor>
  <cdr:relSizeAnchor xmlns:cdr="http://schemas.openxmlformats.org/drawingml/2006/chartDrawing">
    <cdr:from>
      <cdr:x>0.85375</cdr:x>
      <cdr:y>0.03975</cdr:y>
    </cdr:from>
    <cdr:to>
      <cdr:x>1</cdr:x>
      <cdr:y>0.04</cdr:y>
    </cdr:to>
    <cdr:sp macro="" textlink="">
      <cdr:nvSpPr>
        <cdr:cNvPr id="6150" name="Line 6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8180761" y="286993"/>
          <a:ext cx="1401389" cy="1805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</cdr:sp>
  </cdr:relSizeAnchor>
  <cdr:relSizeAnchor xmlns:cdr="http://schemas.openxmlformats.org/drawingml/2006/chartDrawing">
    <cdr:from>
      <cdr:x>0.85375</cdr:x>
      <cdr:y>0.35475</cdr:y>
    </cdr:from>
    <cdr:to>
      <cdr:x>1</cdr:x>
      <cdr:y>0.35475</cdr:y>
    </cdr:to>
    <cdr:sp macro="" textlink="">
      <cdr:nvSpPr>
        <cdr:cNvPr id="6154" name="Line 10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8180761" y="2561277"/>
          <a:ext cx="1401389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</cdr:sp>
  </cdr:relSizeAnchor>
  <cdr:relSizeAnchor xmlns:cdr="http://schemas.openxmlformats.org/drawingml/2006/chartDrawing">
    <cdr:from>
      <cdr:x>0.85375</cdr:x>
      <cdr:y>0.711</cdr:y>
    </cdr:from>
    <cdr:to>
      <cdr:x>1</cdr:x>
      <cdr:y>0.711</cdr:y>
    </cdr:to>
    <cdr:sp macro="" textlink="">
      <cdr:nvSpPr>
        <cdr:cNvPr id="6155" name="Line 1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 flipV="1">
          <a:off x="8180761" y="5133384"/>
          <a:ext cx="1401389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</cdr:sp>
  </cdr:relSizeAnchor>
  <cdr:relSizeAnchor xmlns:cdr="http://schemas.openxmlformats.org/drawingml/2006/chartDrawing">
    <cdr:from>
      <cdr:x>0.85375</cdr:x>
      <cdr:y>0.15675</cdr:y>
    </cdr:from>
    <cdr:to>
      <cdr:x>0.9995</cdr:x>
      <cdr:y>0.3335</cdr:y>
    </cdr:to>
    <cdr:sp macro="" textlink="">
      <cdr:nvSpPr>
        <cdr:cNvPr id="6350" name="Text Box 20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180761" y="1131727"/>
          <a:ext cx="1396598" cy="12761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vert="vert270" wrap="square" lIns="27432" tIns="0" rIns="0" bIns="2286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Designed ___________</a:t>
          </a:r>
        </a:p>
        <a:p xmlns:a="http://schemas.openxmlformats.org/drawingml/2006/main"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Drawn  _____________</a:t>
          </a:r>
        </a:p>
        <a:p xmlns:a="http://schemas.openxmlformats.org/drawingml/2006/main"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Checked____________</a:t>
          </a:r>
        </a:p>
        <a:p xmlns:a="http://schemas.openxmlformats.org/drawingml/2006/main"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Approved ___________</a:t>
          </a:r>
        </a:p>
        <a:p xmlns:a="http://schemas.openxmlformats.org/drawingml/2006/main"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Title   ______________</a:t>
          </a:r>
        </a:p>
      </cdr:txBody>
    </cdr:sp>
  </cdr:relSizeAnchor>
  <cdr:relSizeAnchor xmlns:cdr="http://schemas.openxmlformats.org/drawingml/2006/chartDrawing">
    <cdr:from>
      <cdr:x>0.8605</cdr:x>
      <cdr:y>0.04375</cdr:y>
    </cdr:from>
    <cdr:to>
      <cdr:x>0.99775</cdr:x>
      <cdr:y>0.16225</cdr:y>
    </cdr:to>
    <cdr:sp macro="" textlink="">
      <cdr:nvSpPr>
        <cdr:cNvPr id="6351" name="Text Box 20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245440" y="315873"/>
          <a:ext cx="1315150" cy="85556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vert="vert270" wrap="square" lIns="27432" tIns="22860" rIns="0" bIns="0" anchor="t" upright="1"/>
        <a:lstStyle xmlns:a="http://schemas.openxmlformats.org/drawingml/2006/main"/>
        <a:p xmlns:a="http://schemas.openxmlformats.org/drawingml/2006/main">
          <a:pPr algn="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_______</a:t>
          </a:r>
        </a:p>
        <a:p xmlns:a="http://schemas.openxmlformats.org/drawingml/2006/main">
          <a:pPr algn="r" rtl="0">
            <a:defRPr sz="1000"/>
          </a:pPr>
          <a:endParaRPr lang="en-US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_______</a:t>
          </a:r>
        </a:p>
        <a:p xmlns:a="http://schemas.openxmlformats.org/drawingml/2006/main">
          <a:pPr algn="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_______</a:t>
          </a:r>
        </a:p>
        <a:p xmlns:a="http://schemas.openxmlformats.org/drawingml/2006/main">
          <a:pPr algn="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_______</a:t>
          </a:r>
        </a:p>
      </cdr:txBody>
    </cdr:sp>
  </cdr:relSizeAnchor>
  <cdr:relSizeAnchor xmlns:cdr="http://schemas.openxmlformats.org/drawingml/2006/chartDrawing">
    <cdr:from>
      <cdr:x>0.8625</cdr:x>
      <cdr:y>0.358</cdr:y>
    </cdr:from>
    <cdr:to>
      <cdr:x>0.99975</cdr:x>
      <cdr:y>0.702</cdr:y>
    </cdr:to>
    <cdr:sp macro="" textlink="">
      <cdr:nvSpPr>
        <cdr:cNvPr id="6352" name="Text Box 20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264604" y="2584742"/>
          <a:ext cx="1315150" cy="2483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vert="vert270" wrap="square" lIns="27432" tIns="22860" rIns="0" bIns="2286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PROFILE ALONG TILE</a:t>
          </a:r>
        </a:p>
        <a:p xmlns:a="http://schemas.openxmlformats.org/drawingml/2006/main">
          <a:pPr algn="ctr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Landuser________________________</a:t>
          </a:r>
        </a:p>
        <a:p xmlns:a="http://schemas.openxmlformats.org/drawingml/2006/main"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_______________ County SWCD, INDIANA</a:t>
          </a:r>
        </a:p>
        <a:p xmlns:a="http://schemas.openxmlformats.org/drawingml/2006/main">
          <a:pPr algn="ctr" rtl="0">
            <a:defRPr sz="1000"/>
          </a:pPr>
          <a:endParaRPr lang="en-US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Section ______     T_____     R_____</a:t>
          </a:r>
        </a:p>
      </cdr:txBody>
    </cdr:sp>
  </cdr:relSizeAnchor>
  <cdr:relSizeAnchor xmlns:cdr="http://schemas.openxmlformats.org/drawingml/2006/chartDrawing">
    <cdr:from>
      <cdr:x>0.88225</cdr:x>
      <cdr:y>0.3895</cdr:y>
    </cdr:from>
    <cdr:to>
      <cdr:x>0.90175</cdr:x>
      <cdr:y>0.58825</cdr:y>
    </cdr:to>
    <cdr:sp macro="" textlink="" fLocksText="0">
      <cdr:nvSpPr>
        <cdr:cNvPr id="6353" name="Text Box 20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453852" y="2812171"/>
          <a:ext cx="186852" cy="143496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vert="vert270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US"/>
        </a:p>
      </cdr:txBody>
    </cdr:sp>
  </cdr:relSizeAnchor>
  <cdr:relSizeAnchor xmlns:cdr="http://schemas.openxmlformats.org/drawingml/2006/chartDrawing">
    <cdr:from>
      <cdr:x>0.91875</cdr:x>
      <cdr:y>0.56525</cdr:y>
    </cdr:from>
    <cdr:to>
      <cdr:x>0.93625</cdr:x>
      <cdr:y>0.68275</cdr:y>
    </cdr:to>
    <cdr:sp macro="" textlink="" fLocksText="0">
      <cdr:nvSpPr>
        <cdr:cNvPr id="6354" name="Text Box 21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803600" y="4081077"/>
          <a:ext cx="167688" cy="8483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vert="vert270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US"/>
        </a:p>
      </cdr:txBody>
    </cdr:sp>
  </cdr:relSizeAnchor>
  <cdr:relSizeAnchor xmlns:cdr="http://schemas.openxmlformats.org/drawingml/2006/chartDrawing">
    <cdr:from>
      <cdr:x>0.96727</cdr:x>
      <cdr:y>0.56361</cdr:y>
    </cdr:from>
    <cdr:to>
      <cdr:x>0.98627</cdr:x>
      <cdr:y>0.60036</cdr:y>
    </cdr:to>
    <cdr:sp macro="" textlink="" fLocksText="0">
      <cdr:nvSpPr>
        <cdr:cNvPr id="6355" name="Text Box 21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380371" y="3545263"/>
          <a:ext cx="164615" cy="23116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vert="vert270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US"/>
        </a:p>
      </cdr:txBody>
    </cdr:sp>
  </cdr:relSizeAnchor>
  <cdr:relSizeAnchor xmlns:cdr="http://schemas.openxmlformats.org/drawingml/2006/chartDrawing">
    <cdr:from>
      <cdr:x>0.96727</cdr:x>
      <cdr:y>0.46586</cdr:y>
    </cdr:from>
    <cdr:to>
      <cdr:x>0.98627</cdr:x>
      <cdr:y>0.50986</cdr:y>
    </cdr:to>
    <cdr:sp macro="" textlink="" fLocksText="0">
      <cdr:nvSpPr>
        <cdr:cNvPr id="6356" name="Text Box 21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380371" y="2930386"/>
          <a:ext cx="164615" cy="27677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vert="vert270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/>
            <a:t>N</a:t>
          </a:r>
        </a:p>
      </cdr:txBody>
    </cdr:sp>
  </cdr:relSizeAnchor>
  <cdr:relSizeAnchor xmlns:cdr="http://schemas.openxmlformats.org/drawingml/2006/chartDrawing">
    <cdr:from>
      <cdr:x>0.96831</cdr:x>
      <cdr:y>0.37129</cdr:y>
    </cdr:from>
    <cdr:to>
      <cdr:x>0.98731</cdr:x>
      <cdr:y>0.41529</cdr:y>
    </cdr:to>
    <cdr:sp macro="" textlink="" fLocksText="0">
      <cdr:nvSpPr>
        <cdr:cNvPr id="6357" name="Text Box 21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389357" y="2335506"/>
          <a:ext cx="164615" cy="27677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vert="vert270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/>
            <a:t>E</a:t>
          </a:r>
        </a:p>
      </cdr:txBody>
    </cdr:sp>
  </cdr:relSizeAnchor>
  <cdr:relSizeAnchor xmlns:cdr="http://schemas.openxmlformats.org/drawingml/2006/chartDrawing">
    <cdr:from>
      <cdr:x>0.8605</cdr:x>
      <cdr:y>0.1675</cdr:y>
    </cdr:from>
    <cdr:to>
      <cdr:x>0.87825</cdr:x>
      <cdr:y>0.26425</cdr:y>
    </cdr:to>
    <cdr:sp macro="" textlink="" fLocksText="0">
      <cdr:nvSpPr>
        <cdr:cNvPr id="6358" name="Text Box 21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245440" y="1209342"/>
          <a:ext cx="170083" cy="69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vert="vert270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US"/>
        </a:p>
      </cdr:txBody>
    </cdr:sp>
  </cdr:relSizeAnchor>
  <cdr:relSizeAnchor xmlns:cdr="http://schemas.openxmlformats.org/drawingml/2006/chartDrawing">
    <cdr:from>
      <cdr:x>0.885</cdr:x>
      <cdr:y>0.1705</cdr:y>
    </cdr:from>
    <cdr:to>
      <cdr:x>0.905</cdr:x>
      <cdr:y>0.268</cdr:y>
    </cdr:to>
    <cdr:sp macro="" textlink="" fLocksText="0">
      <cdr:nvSpPr>
        <cdr:cNvPr id="6359" name="Text Box 21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480203" y="1231001"/>
          <a:ext cx="191643" cy="703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vert="vert270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US"/>
        </a:p>
      </cdr:txBody>
    </cdr:sp>
  </cdr:relSizeAnchor>
  <cdr:relSizeAnchor xmlns:cdr="http://schemas.openxmlformats.org/drawingml/2006/chartDrawing">
    <cdr:from>
      <cdr:x>0.8625</cdr:x>
      <cdr:y>0.04375</cdr:y>
    </cdr:from>
    <cdr:to>
      <cdr:x>0.88275</cdr:x>
      <cdr:y>0.1015</cdr:y>
    </cdr:to>
    <cdr:sp macro="" textlink="" fLocksText="0">
      <cdr:nvSpPr>
        <cdr:cNvPr id="6360" name="Text Box 21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264604" y="315873"/>
          <a:ext cx="194039" cy="4169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vert="vert270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US"/>
        </a:p>
      </cdr:txBody>
    </cdr:sp>
  </cdr:relSizeAnchor>
  <cdr:relSizeAnchor xmlns:cdr="http://schemas.openxmlformats.org/drawingml/2006/chartDrawing">
    <cdr:from>
      <cdr:x>0.8925</cdr:x>
      <cdr:y>0.04375</cdr:y>
    </cdr:from>
    <cdr:to>
      <cdr:x>0.912</cdr:x>
      <cdr:y>0.1015</cdr:y>
    </cdr:to>
    <cdr:sp macro="" textlink="" fLocksText="0">
      <cdr:nvSpPr>
        <cdr:cNvPr id="6361" name="Text Box 21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552069" y="315873"/>
          <a:ext cx="186852" cy="4169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vert="vert270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US"/>
        </a:p>
      </cdr:txBody>
    </cdr:sp>
  </cdr:relSizeAnchor>
  <cdr:relSizeAnchor xmlns:cdr="http://schemas.openxmlformats.org/drawingml/2006/chartDrawing">
    <cdr:from>
      <cdr:x>0.912</cdr:x>
      <cdr:y>0.004</cdr:y>
    </cdr:from>
    <cdr:to>
      <cdr:x>0.926</cdr:x>
      <cdr:y>0.02625</cdr:y>
    </cdr:to>
    <cdr:sp macro="" textlink="" fLocksText="0">
      <cdr:nvSpPr>
        <cdr:cNvPr id="6362" name="Text Box 21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738921" y="28880"/>
          <a:ext cx="134150" cy="1606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</cdr:sp>
  </cdr:relSizeAnchor>
  <cdr:relSizeAnchor xmlns:cdr="http://schemas.openxmlformats.org/drawingml/2006/chartDrawing">
    <cdr:from>
      <cdr:x>0.96</cdr:x>
      <cdr:y>0.004</cdr:y>
    </cdr:from>
    <cdr:to>
      <cdr:x>0.9745</cdr:x>
      <cdr:y>0.02625</cdr:y>
    </cdr:to>
    <cdr:sp macro="" textlink="" fLocksText="0">
      <cdr:nvSpPr>
        <cdr:cNvPr id="6363" name="Text Box 21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198864" y="28880"/>
          <a:ext cx="138941" cy="1606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</cdr:sp>
  </cdr:relSizeAnchor>
  <cdr:relSizeAnchor xmlns:cdr="http://schemas.openxmlformats.org/drawingml/2006/chartDrawing">
    <cdr:from>
      <cdr:x>0.89092</cdr:x>
      <cdr:y>0.71415</cdr:y>
    </cdr:from>
    <cdr:to>
      <cdr:x>0.96144</cdr:x>
      <cdr:y>0.99429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718846" y="4492234"/>
          <a:ext cx="611036" cy="1762132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76200</xdr:rowOff>
        </xdr:from>
        <xdr:to>
          <xdr:col>9</xdr:col>
          <xdr:colOff>200025</xdr:colOff>
          <xdr:row>9</xdr:row>
          <xdr:rowOff>114300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Data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0.8525</cdr:x>
      <cdr:y>0.004</cdr:y>
    </cdr:from>
    <cdr:to>
      <cdr:x>0.9995</cdr:x>
      <cdr:y>0.03475</cdr:y>
    </cdr:to>
    <cdr:sp macro="" textlink="" fLocksText="0">
      <cdr:nvSpPr>
        <cdr:cNvPr id="6348" name="Text Box 20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168783" y="28880"/>
          <a:ext cx="1408576" cy="222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0" rIns="27432" bIns="22860" anchor="b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Sheet _____of_____</a:t>
          </a:r>
        </a:p>
      </cdr:txBody>
    </cdr:sp>
  </cdr:relSizeAnchor>
  <cdr:relSizeAnchor xmlns:cdr="http://schemas.openxmlformats.org/drawingml/2006/chartDrawing">
    <cdr:from>
      <cdr:x>0.85375</cdr:x>
      <cdr:y>0</cdr:y>
    </cdr:from>
    <cdr:to>
      <cdr:x>0.9995</cdr:x>
      <cdr:y>0.9975</cdr:y>
    </cdr:to>
    <cdr:sp macro="" textlink="">
      <cdr:nvSpPr>
        <cdr:cNvPr id="6148" name="Rectangle 4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180761" y="0"/>
          <a:ext cx="1396598" cy="72019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cdr:spPr>
    </cdr:sp>
  </cdr:relSizeAnchor>
  <cdr:relSizeAnchor xmlns:cdr="http://schemas.openxmlformats.org/drawingml/2006/chartDrawing">
    <cdr:from>
      <cdr:x>0.85375</cdr:x>
      <cdr:y>0.03975</cdr:y>
    </cdr:from>
    <cdr:to>
      <cdr:x>1</cdr:x>
      <cdr:y>0.04</cdr:y>
    </cdr:to>
    <cdr:sp macro="" textlink="">
      <cdr:nvSpPr>
        <cdr:cNvPr id="6150" name="Line 6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8180761" y="286993"/>
          <a:ext cx="1401389" cy="1805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</cdr:sp>
  </cdr:relSizeAnchor>
  <cdr:relSizeAnchor xmlns:cdr="http://schemas.openxmlformats.org/drawingml/2006/chartDrawing">
    <cdr:from>
      <cdr:x>0.85375</cdr:x>
      <cdr:y>0.35475</cdr:y>
    </cdr:from>
    <cdr:to>
      <cdr:x>1</cdr:x>
      <cdr:y>0.35475</cdr:y>
    </cdr:to>
    <cdr:sp macro="" textlink="">
      <cdr:nvSpPr>
        <cdr:cNvPr id="6154" name="Line 10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>
          <a:off x="8180761" y="2561277"/>
          <a:ext cx="1401389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</cdr:sp>
  </cdr:relSizeAnchor>
  <cdr:relSizeAnchor xmlns:cdr="http://schemas.openxmlformats.org/drawingml/2006/chartDrawing">
    <cdr:from>
      <cdr:x>0.85375</cdr:x>
      <cdr:y>0.711</cdr:y>
    </cdr:from>
    <cdr:to>
      <cdr:x>1</cdr:x>
      <cdr:y>0.711</cdr:y>
    </cdr:to>
    <cdr:sp macro="" textlink="">
      <cdr:nvSpPr>
        <cdr:cNvPr id="6155" name="Line 1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 flipV="1">
          <a:off x="8180761" y="5133384"/>
          <a:ext cx="1401389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</cdr:sp>
  </cdr:relSizeAnchor>
  <cdr:relSizeAnchor xmlns:cdr="http://schemas.openxmlformats.org/drawingml/2006/chartDrawing">
    <cdr:from>
      <cdr:x>0.85375</cdr:x>
      <cdr:y>0.15675</cdr:y>
    </cdr:from>
    <cdr:to>
      <cdr:x>0.9995</cdr:x>
      <cdr:y>0.3335</cdr:y>
    </cdr:to>
    <cdr:sp macro="" textlink="">
      <cdr:nvSpPr>
        <cdr:cNvPr id="6350" name="Text Box 20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180761" y="1131727"/>
          <a:ext cx="1396598" cy="12761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vert="vert270" wrap="square" lIns="27432" tIns="0" rIns="0" bIns="2286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Designed ___________</a:t>
          </a:r>
        </a:p>
        <a:p xmlns:a="http://schemas.openxmlformats.org/drawingml/2006/main"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Drawn  _____________</a:t>
          </a:r>
        </a:p>
        <a:p xmlns:a="http://schemas.openxmlformats.org/drawingml/2006/main"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Checked____________</a:t>
          </a:r>
        </a:p>
        <a:p xmlns:a="http://schemas.openxmlformats.org/drawingml/2006/main"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Approved ___________</a:t>
          </a:r>
        </a:p>
        <a:p xmlns:a="http://schemas.openxmlformats.org/drawingml/2006/main"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Title   ______________</a:t>
          </a:r>
        </a:p>
      </cdr:txBody>
    </cdr:sp>
  </cdr:relSizeAnchor>
  <cdr:relSizeAnchor xmlns:cdr="http://schemas.openxmlformats.org/drawingml/2006/chartDrawing">
    <cdr:from>
      <cdr:x>0.8605</cdr:x>
      <cdr:y>0.04375</cdr:y>
    </cdr:from>
    <cdr:to>
      <cdr:x>0.99775</cdr:x>
      <cdr:y>0.16225</cdr:y>
    </cdr:to>
    <cdr:sp macro="" textlink="">
      <cdr:nvSpPr>
        <cdr:cNvPr id="6351" name="Text Box 20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245440" y="315873"/>
          <a:ext cx="1315150" cy="85556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vert="vert270" wrap="square" lIns="27432" tIns="22860" rIns="0" bIns="0" anchor="t" upright="1"/>
        <a:lstStyle xmlns:a="http://schemas.openxmlformats.org/drawingml/2006/main"/>
        <a:p xmlns:a="http://schemas.openxmlformats.org/drawingml/2006/main">
          <a:pPr algn="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_______</a:t>
          </a:r>
        </a:p>
        <a:p xmlns:a="http://schemas.openxmlformats.org/drawingml/2006/main">
          <a:pPr algn="r" rtl="0">
            <a:defRPr sz="1000"/>
          </a:pPr>
          <a:endParaRPr lang="en-US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_______</a:t>
          </a:r>
        </a:p>
        <a:p xmlns:a="http://schemas.openxmlformats.org/drawingml/2006/main">
          <a:pPr algn="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_______</a:t>
          </a:r>
        </a:p>
        <a:p xmlns:a="http://schemas.openxmlformats.org/drawingml/2006/main">
          <a:pPr algn="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_______</a:t>
          </a:r>
        </a:p>
      </cdr:txBody>
    </cdr:sp>
  </cdr:relSizeAnchor>
  <cdr:relSizeAnchor xmlns:cdr="http://schemas.openxmlformats.org/drawingml/2006/chartDrawing">
    <cdr:from>
      <cdr:x>0.8625</cdr:x>
      <cdr:y>0.358</cdr:y>
    </cdr:from>
    <cdr:to>
      <cdr:x>0.99975</cdr:x>
      <cdr:y>0.702</cdr:y>
    </cdr:to>
    <cdr:sp macro="" textlink="">
      <cdr:nvSpPr>
        <cdr:cNvPr id="6352" name="Text Box 20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264604" y="2584742"/>
          <a:ext cx="1315150" cy="2483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vert="vert270" wrap="square" lIns="27432" tIns="22860" rIns="0" bIns="2286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PROFILE ALONG RIDGE</a:t>
          </a:r>
        </a:p>
        <a:p xmlns:a="http://schemas.openxmlformats.org/drawingml/2006/main">
          <a:pPr algn="ctr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Landuser________________________</a:t>
          </a:r>
        </a:p>
        <a:p xmlns:a="http://schemas.openxmlformats.org/drawingml/2006/main">
          <a:pPr algn="ctr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_______________ County SWCD, INDIANA</a:t>
          </a:r>
        </a:p>
        <a:p xmlns:a="http://schemas.openxmlformats.org/drawingml/2006/main">
          <a:pPr algn="ctr" rtl="0">
            <a:defRPr sz="1000"/>
          </a:pPr>
          <a:endParaRPr lang="en-US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 xmlns:a="http://schemas.openxmlformats.org/drawingml/2006/main"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Section ______     T_____     R_____</a:t>
          </a:r>
        </a:p>
      </cdr:txBody>
    </cdr:sp>
  </cdr:relSizeAnchor>
  <cdr:relSizeAnchor xmlns:cdr="http://schemas.openxmlformats.org/drawingml/2006/chartDrawing">
    <cdr:from>
      <cdr:x>0.88225</cdr:x>
      <cdr:y>0.3895</cdr:y>
    </cdr:from>
    <cdr:to>
      <cdr:x>0.90175</cdr:x>
      <cdr:y>0.58825</cdr:y>
    </cdr:to>
    <cdr:sp macro="" textlink="" fLocksText="0">
      <cdr:nvSpPr>
        <cdr:cNvPr id="6353" name="Text Box 20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453852" y="2812171"/>
          <a:ext cx="186852" cy="143496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vert="vert270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US"/>
        </a:p>
      </cdr:txBody>
    </cdr:sp>
  </cdr:relSizeAnchor>
  <cdr:relSizeAnchor xmlns:cdr="http://schemas.openxmlformats.org/drawingml/2006/chartDrawing">
    <cdr:from>
      <cdr:x>0.91875</cdr:x>
      <cdr:y>0.56525</cdr:y>
    </cdr:from>
    <cdr:to>
      <cdr:x>0.93625</cdr:x>
      <cdr:y>0.68275</cdr:y>
    </cdr:to>
    <cdr:sp macro="" textlink="" fLocksText="0">
      <cdr:nvSpPr>
        <cdr:cNvPr id="6354" name="Text Box 21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803600" y="4081077"/>
          <a:ext cx="167688" cy="8483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vert="vert270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US"/>
        </a:p>
      </cdr:txBody>
    </cdr:sp>
  </cdr:relSizeAnchor>
  <cdr:relSizeAnchor xmlns:cdr="http://schemas.openxmlformats.org/drawingml/2006/chartDrawing">
    <cdr:from>
      <cdr:x>0.96727</cdr:x>
      <cdr:y>0.56361</cdr:y>
    </cdr:from>
    <cdr:to>
      <cdr:x>0.98627</cdr:x>
      <cdr:y>0.60036</cdr:y>
    </cdr:to>
    <cdr:sp macro="" textlink="" fLocksText="0">
      <cdr:nvSpPr>
        <cdr:cNvPr id="6355" name="Text Box 21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380371" y="3545263"/>
          <a:ext cx="164615" cy="23116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vert="vert270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US"/>
        </a:p>
      </cdr:txBody>
    </cdr:sp>
  </cdr:relSizeAnchor>
  <cdr:relSizeAnchor xmlns:cdr="http://schemas.openxmlformats.org/drawingml/2006/chartDrawing">
    <cdr:from>
      <cdr:x>0.96727</cdr:x>
      <cdr:y>0.46586</cdr:y>
    </cdr:from>
    <cdr:to>
      <cdr:x>0.98627</cdr:x>
      <cdr:y>0.50986</cdr:y>
    </cdr:to>
    <cdr:sp macro="" textlink="" fLocksText="0">
      <cdr:nvSpPr>
        <cdr:cNvPr id="6356" name="Text Box 21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380371" y="2930386"/>
          <a:ext cx="164615" cy="27677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vert="vert270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/>
            <a:t>N</a:t>
          </a:r>
        </a:p>
      </cdr:txBody>
    </cdr:sp>
  </cdr:relSizeAnchor>
  <cdr:relSizeAnchor xmlns:cdr="http://schemas.openxmlformats.org/drawingml/2006/chartDrawing">
    <cdr:from>
      <cdr:x>0.96831</cdr:x>
      <cdr:y>0.37129</cdr:y>
    </cdr:from>
    <cdr:to>
      <cdr:x>0.98731</cdr:x>
      <cdr:y>0.41529</cdr:y>
    </cdr:to>
    <cdr:sp macro="" textlink="" fLocksText="0">
      <cdr:nvSpPr>
        <cdr:cNvPr id="6357" name="Text Box 21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389357" y="2335506"/>
          <a:ext cx="164615" cy="27677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vert="vert270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/>
            <a:t>E</a:t>
          </a:r>
        </a:p>
      </cdr:txBody>
    </cdr:sp>
  </cdr:relSizeAnchor>
  <cdr:relSizeAnchor xmlns:cdr="http://schemas.openxmlformats.org/drawingml/2006/chartDrawing">
    <cdr:from>
      <cdr:x>0.8605</cdr:x>
      <cdr:y>0.1675</cdr:y>
    </cdr:from>
    <cdr:to>
      <cdr:x>0.87825</cdr:x>
      <cdr:y>0.26425</cdr:y>
    </cdr:to>
    <cdr:sp macro="" textlink="" fLocksText="0">
      <cdr:nvSpPr>
        <cdr:cNvPr id="6358" name="Text Box 21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245440" y="1209342"/>
          <a:ext cx="170083" cy="698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vert="vert270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US"/>
        </a:p>
      </cdr:txBody>
    </cdr:sp>
  </cdr:relSizeAnchor>
  <cdr:relSizeAnchor xmlns:cdr="http://schemas.openxmlformats.org/drawingml/2006/chartDrawing">
    <cdr:from>
      <cdr:x>0.885</cdr:x>
      <cdr:y>0.1705</cdr:y>
    </cdr:from>
    <cdr:to>
      <cdr:x>0.905</cdr:x>
      <cdr:y>0.268</cdr:y>
    </cdr:to>
    <cdr:sp macro="" textlink="" fLocksText="0">
      <cdr:nvSpPr>
        <cdr:cNvPr id="6359" name="Text Box 21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480203" y="1231001"/>
          <a:ext cx="191643" cy="703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vert="vert270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US"/>
        </a:p>
      </cdr:txBody>
    </cdr:sp>
  </cdr:relSizeAnchor>
  <cdr:relSizeAnchor xmlns:cdr="http://schemas.openxmlformats.org/drawingml/2006/chartDrawing">
    <cdr:from>
      <cdr:x>0.8625</cdr:x>
      <cdr:y>0.04375</cdr:y>
    </cdr:from>
    <cdr:to>
      <cdr:x>0.88275</cdr:x>
      <cdr:y>0.1015</cdr:y>
    </cdr:to>
    <cdr:sp macro="" textlink="" fLocksText="0">
      <cdr:nvSpPr>
        <cdr:cNvPr id="6360" name="Text Box 21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264604" y="315873"/>
          <a:ext cx="194039" cy="4169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vert="vert270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US"/>
        </a:p>
      </cdr:txBody>
    </cdr:sp>
  </cdr:relSizeAnchor>
  <cdr:relSizeAnchor xmlns:cdr="http://schemas.openxmlformats.org/drawingml/2006/chartDrawing">
    <cdr:from>
      <cdr:x>0.8925</cdr:x>
      <cdr:y>0.04375</cdr:y>
    </cdr:from>
    <cdr:to>
      <cdr:x>0.912</cdr:x>
      <cdr:y>0.1015</cdr:y>
    </cdr:to>
    <cdr:sp macro="" textlink="" fLocksText="0">
      <cdr:nvSpPr>
        <cdr:cNvPr id="6361" name="Text Box 21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552069" y="315873"/>
          <a:ext cx="186852" cy="4169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vert="vert270" wrap="square" lIns="18288" tIns="0" rIns="0" bIns="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US"/>
        </a:p>
      </cdr:txBody>
    </cdr:sp>
  </cdr:relSizeAnchor>
  <cdr:relSizeAnchor xmlns:cdr="http://schemas.openxmlformats.org/drawingml/2006/chartDrawing">
    <cdr:from>
      <cdr:x>0.912</cdr:x>
      <cdr:y>0.004</cdr:y>
    </cdr:from>
    <cdr:to>
      <cdr:x>0.926</cdr:x>
      <cdr:y>0.02625</cdr:y>
    </cdr:to>
    <cdr:sp macro="" textlink="" fLocksText="0">
      <cdr:nvSpPr>
        <cdr:cNvPr id="6362" name="Text Box 21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738921" y="28880"/>
          <a:ext cx="134150" cy="1606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</cdr:sp>
  </cdr:relSizeAnchor>
  <cdr:relSizeAnchor xmlns:cdr="http://schemas.openxmlformats.org/drawingml/2006/chartDrawing">
    <cdr:from>
      <cdr:x>0.96</cdr:x>
      <cdr:y>0.004</cdr:y>
    </cdr:from>
    <cdr:to>
      <cdr:x>0.9745</cdr:x>
      <cdr:y>0.02625</cdr:y>
    </cdr:to>
    <cdr:sp macro="" textlink="" fLocksText="0">
      <cdr:nvSpPr>
        <cdr:cNvPr id="6363" name="Text Box 21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198864" y="28880"/>
          <a:ext cx="138941" cy="1606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</cdr:sp>
  </cdr:relSizeAnchor>
  <cdr:relSizeAnchor xmlns:cdr="http://schemas.openxmlformats.org/drawingml/2006/chartDrawing">
    <cdr:from>
      <cdr:x>0.89092</cdr:x>
      <cdr:y>0.71415</cdr:y>
    </cdr:from>
    <cdr:to>
      <cdr:x>0.96144</cdr:x>
      <cdr:y>0.99429</cdr:y>
    </cdr:to>
    <cdr:pic>
      <cdr:nvPicPr>
        <cdr:cNvPr id="3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718846" y="4492234"/>
          <a:ext cx="611036" cy="176213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bg1"/>
        </a:solidFill>
        <a:ln>
          <a:solidFill>
            <a:schemeClr val="tx1"/>
          </a:solidFill>
        </a:ln>
      </a:spPr>
      <a:bodyPr vertOverflow="clip" wrap="none" rtlCol="0">
        <a:spAutoFit/>
      </a:bodyPr>
      <a:lstStyle>
        <a:defPPr>
          <a:defRPr sz="1100"/>
        </a:defPPr>
      </a:lst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indexed="41"/>
  </sheetPr>
  <dimension ref="A1:AF60"/>
  <sheetViews>
    <sheetView showGridLines="0" tabSelected="1" zoomScale="85" workbookViewId="0">
      <selection activeCell="B19" sqref="B19:C25"/>
    </sheetView>
  </sheetViews>
  <sheetFormatPr defaultRowHeight="12.75" x14ac:dyDescent="0.2"/>
  <cols>
    <col min="1" max="1" width="0.7109375" customWidth="1"/>
    <col min="2" max="2" width="8" customWidth="1"/>
    <col min="3" max="3" width="9.7109375" customWidth="1"/>
    <col min="4" max="4" width="1.42578125" customWidth="1"/>
    <col min="5" max="5" width="8.85546875" customWidth="1"/>
    <col min="6" max="6" width="2" customWidth="1"/>
    <col min="7" max="7" width="6.85546875" customWidth="1"/>
    <col min="8" max="8" width="2" customWidth="1"/>
    <col min="9" max="9" width="7.140625" customWidth="1"/>
    <col min="10" max="10" width="8.7109375" customWidth="1"/>
    <col min="11" max="11" width="2.85546875" customWidth="1"/>
    <col min="12" max="12" width="5.28515625" customWidth="1"/>
    <col min="13" max="13" width="2" customWidth="1"/>
    <col min="14" max="14" width="9.28515625" customWidth="1"/>
    <col min="15" max="15" width="8.140625" customWidth="1"/>
    <col min="16" max="16" width="9.7109375" customWidth="1"/>
    <col min="17" max="17" width="2.85546875" customWidth="1"/>
    <col min="18" max="18" width="5.28515625" customWidth="1"/>
    <col min="19" max="19" width="9.28515625" customWidth="1"/>
    <col min="20" max="20" width="4.28515625" customWidth="1"/>
    <col min="21" max="21" width="8.28515625" customWidth="1"/>
    <col min="22" max="22" width="8.5703125" customWidth="1"/>
    <col min="23" max="23" width="9.140625" hidden="1" customWidth="1"/>
    <col min="24" max="24" width="5.85546875" hidden="1" customWidth="1"/>
    <col min="25" max="30" width="9.140625" hidden="1" customWidth="1"/>
  </cols>
  <sheetData>
    <row r="1" spans="1:30" ht="3.75" customHeight="1" thickBot="1" x14ac:dyDescent="0.25"/>
    <row r="2" spans="1:30" ht="24.75" customHeight="1" thickBot="1" x14ac:dyDescent="0.4">
      <c r="B2" s="101" t="s">
        <v>34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41"/>
      <c r="Q2" s="42"/>
      <c r="R2" s="45" t="s">
        <v>40</v>
      </c>
      <c r="S2" s="22"/>
      <c r="T2" s="22"/>
      <c r="U2" s="22"/>
      <c r="V2" s="22"/>
      <c r="W2" s="22"/>
      <c r="X2" s="22"/>
    </row>
    <row r="3" spans="1:30" ht="12" customHeight="1" x14ac:dyDescent="0.2">
      <c r="A3" s="63"/>
      <c r="B3" s="3"/>
      <c r="C3" s="3"/>
      <c r="D3" s="3"/>
      <c r="E3" s="5"/>
      <c r="F3" s="3"/>
      <c r="G3" s="3"/>
      <c r="H3" s="3"/>
      <c r="I3" s="3"/>
      <c r="J3" s="3"/>
      <c r="K3" s="3"/>
      <c r="L3" s="5"/>
      <c r="M3" s="5"/>
      <c r="N3" s="3"/>
      <c r="O3" s="3"/>
      <c r="P3" s="3"/>
      <c r="Q3" s="3"/>
      <c r="R3" s="3"/>
      <c r="S3" s="3"/>
      <c r="T3" s="6"/>
      <c r="U3" s="3"/>
      <c r="V3" s="103"/>
      <c r="W3" s="103"/>
      <c r="X3" s="4"/>
    </row>
    <row r="4" spans="1:30" ht="15.75" customHeight="1" x14ac:dyDescent="0.25">
      <c r="A4" s="63"/>
      <c r="B4" s="104" t="s">
        <v>22</v>
      </c>
      <c r="C4" s="104"/>
      <c r="D4" s="105"/>
      <c r="E4" s="105"/>
      <c r="F4" s="105"/>
      <c r="G4" s="105"/>
      <c r="H4" s="105"/>
      <c r="I4" s="105"/>
      <c r="J4" s="105"/>
      <c r="K4" s="105"/>
      <c r="L4" s="105"/>
      <c r="M4" s="63"/>
      <c r="N4" s="63"/>
      <c r="O4" s="69" t="s">
        <v>28</v>
      </c>
      <c r="P4" s="106">
        <f ca="1">TODAY()</f>
        <v>43069</v>
      </c>
      <c r="Q4" s="106"/>
      <c r="R4" s="106"/>
      <c r="S4" s="7"/>
      <c r="T4" s="7"/>
      <c r="U4" s="8"/>
      <c r="V4" s="3"/>
      <c r="W4" s="3"/>
      <c r="X4" s="4"/>
    </row>
    <row r="5" spans="1:30" ht="10.5" customHeight="1" x14ac:dyDescent="0.2">
      <c r="A5" s="63"/>
      <c r="B5" s="43"/>
      <c r="C5" s="43"/>
      <c r="D5" s="78"/>
      <c r="E5" s="78"/>
      <c r="F5" s="78"/>
      <c r="G5" s="78"/>
      <c r="H5" s="78"/>
      <c r="I5" s="9"/>
      <c r="J5" s="3"/>
      <c r="K5" s="3"/>
      <c r="L5" s="3"/>
      <c r="M5" s="3"/>
      <c r="N5" s="78"/>
      <c r="O5" s="78"/>
      <c r="P5" s="63"/>
      <c r="Q5" s="3"/>
      <c r="R5" s="78"/>
      <c r="S5" s="3"/>
      <c r="T5" s="3"/>
      <c r="U5" s="3"/>
      <c r="V5" s="3"/>
      <c r="W5" s="3"/>
      <c r="X5" s="4"/>
    </row>
    <row r="6" spans="1:30" ht="12.75" customHeight="1" x14ac:dyDescent="0.2">
      <c r="A6" s="63"/>
      <c r="B6" s="107" t="s">
        <v>23</v>
      </c>
      <c r="C6" s="107"/>
      <c r="D6" s="108"/>
      <c r="E6" s="108"/>
      <c r="F6" s="108"/>
      <c r="G6" s="108"/>
      <c r="H6" s="108"/>
      <c r="I6" s="82"/>
      <c r="J6" s="3"/>
      <c r="K6" s="30"/>
      <c r="L6" s="63"/>
      <c r="M6" s="63"/>
      <c r="N6" s="63"/>
      <c r="O6" s="69" t="s">
        <v>29</v>
      </c>
      <c r="P6" s="108"/>
      <c r="Q6" s="108"/>
      <c r="R6" s="108"/>
      <c r="S6" s="10"/>
      <c r="T6" s="3"/>
      <c r="U6" s="3"/>
      <c r="V6" s="3"/>
      <c r="W6" s="3"/>
      <c r="X6" s="4"/>
    </row>
    <row r="7" spans="1:30" ht="12" customHeight="1" x14ac:dyDescent="0.2">
      <c r="A7" s="63"/>
      <c r="B7" s="43"/>
      <c r="C7" s="43"/>
      <c r="D7" s="78"/>
      <c r="E7" s="78"/>
      <c r="F7" s="78"/>
      <c r="G7" s="78"/>
      <c r="H7" s="78"/>
      <c r="I7" s="9"/>
      <c r="J7" s="3"/>
      <c r="K7" s="3"/>
      <c r="L7" s="63"/>
      <c r="M7" s="80"/>
      <c r="N7" s="3"/>
      <c r="O7" s="79" t="s">
        <v>30</v>
      </c>
      <c r="P7" s="109"/>
      <c r="Q7" s="109"/>
      <c r="R7" s="109"/>
      <c r="S7" s="3"/>
      <c r="T7" s="3"/>
      <c r="U7" s="3"/>
      <c r="V7" s="11"/>
      <c r="W7" s="3"/>
      <c r="X7" s="4"/>
    </row>
    <row r="8" spans="1:30" ht="12.75" customHeight="1" x14ac:dyDescent="0.2">
      <c r="A8" s="63"/>
      <c r="B8" s="107" t="s">
        <v>24</v>
      </c>
      <c r="C8" s="107"/>
      <c r="D8" s="108"/>
      <c r="E8" s="108"/>
      <c r="F8" s="108"/>
      <c r="G8" s="108"/>
      <c r="H8" s="108"/>
      <c r="I8" s="82"/>
      <c r="J8" s="3"/>
      <c r="K8" s="30"/>
      <c r="L8" s="63"/>
      <c r="M8" s="80"/>
      <c r="N8" s="3"/>
      <c r="O8" s="79" t="s">
        <v>28</v>
      </c>
      <c r="P8" s="109"/>
      <c r="Q8" s="109"/>
      <c r="R8" s="109"/>
      <c r="S8" s="3"/>
      <c r="T8" s="3"/>
      <c r="U8" s="3"/>
      <c r="V8" s="110"/>
      <c r="W8" s="110"/>
      <c r="X8" s="4"/>
    </row>
    <row r="9" spans="1:30" ht="10.5" customHeight="1" x14ac:dyDescent="0.2">
      <c r="A9" s="63"/>
      <c r="B9" s="77"/>
      <c r="C9" s="3"/>
      <c r="D9" s="75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63"/>
      <c r="Q9" s="3"/>
      <c r="R9" s="70"/>
      <c r="S9" s="26"/>
      <c r="T9" s="27"/>
      <c r="U9" s="27"/>
      <c r="V9" s="27"/>
      <c r="W9" s="27"/>
      <c r="X9" s="27"/>
    </row>
    <row r="10" spans="1:30" ht="12.75" customHeight="1" x14ac:dyDescent="0.2">
      <c r="A10" s="63"/>
      <c r="B10" s="107" t="s">
        <v>25</v>
      </c>
      <c r="C10" s="107"/>
      <c r="D10" s="108"/>
      <c r="E10" s="108"/>
      <c r="F10" s="83" t="s">
        <v>26</v>
      </c>
      <c r="G10" s="32"/>
      <c r="H10" s="83" t="s">
        <v>27</v>
      </c>
      <c r="I10" s="32"/>
      <c r="J10" s="81"/>
      <c r="K10" s="3"/>
      <c r="L10" s="3"/>
      <c r="M10" s="3"/>
      <c r="N10" s="3"/>
      <c r="O10" s="3"/>
      <c r="P10" s="63"/>
      <c r="Q10" s="71"/>
      <c r="R10" s="3"/>
      <c r="S10" s="3"/>
      <c r="T10" s="3"/>
      <c r="U10" s="3"/>
      <c r="V10" s="3"/>
      <c r="W10" s="3"/>
      <c r="X10" s="4"/>
    </row>
    <row r="11" spans="1:30" ht="10.5" customHeight="1" x14ac:dyDescent="0.2">
      <c r="A11" s="63"/>
      <c r="B11" s="76"/>
      <c r="C11" s="3"/>
      <c r="D11" s="75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4"/>
    </row>
    <row r="12" spans="1:30" ht="16.5" customHeight="1" x14ac:dyDescent="0.2">
      <c r="A12" s="63"/>
      <c r="B12" s="36" t="s">
        <v>31</v>
      </c>
      <c r="C12" s="33"/>
      <c r="D12" s="75"/>
      <c r="E12" s="111"/>
      <c r="F12" s="111"/>
      <c r="G12" s="63"/>
      <c r="H12" s="36"/>
      <c r="I12" s="36" t="s">
        <v>0</v>
      </c>
      <c r="J12" s="33"/>
      <c r="K12" s="3"/>
      <c r="L12" s="63"/>
      <c r="M12" s="63"/>
      <c r="N12" s="112"/>
      <c r="O12" s="112"/>
      <c r="P12" s="72"/>
      <c r="Q12" s="63"/>
      <c r="R12" s="63"/>
      <c r="S12" s="84"/>
      <c r="T12" s="3"/>
      <c r="U12" s="25"/>
      <c r="V12" s="25"/>
      <c r="W12" s="25"/>
      <c r="X12" s="4"/>
    </row>
    <row r="13" spans="1:30" ht="16.5" customHeight="1" x14ac:dyDescent="0.2">
      <c r="A13" s="63"/>
      <c r="B13" s="36" t="s">
        <v>35</v>
      </c>
      <c r="C13" s="33"/>
      <c r="D13" s="75"/>
      <c r="E13" s="111"/>
      <c r="F13" s="111"/>
      <c r="G13" s="63"/>
      <c r="H13" s="36"/>
      <c r="I13" s="36" t="s">
        <v>33</v>
      </c>
      <c r="J13" s="33"/>
      <c r="K13" s="3"/>
      <c r="L13" s="63"/>
      <c r="M13" s="63"/>
      <c r="N13" s="113"/>
      <c r="O13" s="113"/>
      <c r="P13" s="73"/>
      <c r="Q13" s="63"/>
      <c r="R13" s="3"/>
      <c r="S13" s="3"/>
      <c r="T13" s="3"/>
      <c r="U13" s="25"/>
      <c r="V13" s="25"/>
      <c r="W13" s="25"/>
      <c r="X13" s="4"/>
    </row>
    <row r="14" spans="1:30" ht="16.5" customHeight="1" x14ac:dyDescent="0.2">
      <c r="A14" s="63"/>
      <c r="B14" s="36" t="s">
        <v>36</v>
      </c>
      <c r="C14" s="33"/>
      <c r="D14" s="75"/>
      <c r="E14" s="111"/>
      <c r="F14" s="111"/>
      <c r="G14" s="63"/>
      <c r="H14" s="36"/>
      <c r="I14" s="36" t="s">
        <v>1</v>
      </c>
      <c r="J14" s="3"/>
      <c r="K14" s="3"/>
      <c r="L14" s="63"/>
      <c r="M14" s="63"/>
      <c r="N14" s="114"/>
      <c r="O14" s="114"/>
      <c r="P14" s="74"/>
      <c r="Q14" s="63"/>
      <c r="R14" s="3"/>
      <c r="S14" s="3"/>
      <c r="T14" s="3"/>
      <c r="U14" s="3"/>
      <c r="V14" s="4"/>
      <c r="W14" s="4"/>
      <c r="X14" s="4"/>
    </row>
    <row r="15" spans="1:30" ht="10.5" customHeight="1" thickBot="1" x14ac:dyDescent="0.25">
      <c r="A15" s="6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4"/>
      <c r="T15" s="4"/>
      <c r="U15" s="4"/>
      <c r="V15" s="4"/>
      <c r="W15" s="4"/>
      <c r="X15" s="4"/>
    </row>
    <row r="16" spans="1:30" ht="13.5" thickBot="1" x14ac:dyDescent="0.25">
      <c r="A16" s="63"/>
      <c r="B16" s="115" t="s">
        <v>2</v>
      </c>
      <c r="C16" s="116"/>
      <c r="D16" s="116"/>
      <c r="E16" s="117"/>
      <c r="F16" s="24"/>
      <c r="G16" s="118" t="s">
        <v>3</v>
      </c>
      <c r="H16" s="119"/>
      <c r="I16" s="119"/>
      <c r="J16" s="119"/>
      <c r="K16" s="119"/>
      <c r="L16" s="120"/>
      <c r="M16" s="39"/>
      <c r="N16" s="121" t="s">
        <v>4</v>
      </c>
      <c r="O16" s="122"/>
      <c r="P16" s="122"/>
      <c r="Q16" s="122"/>
      <c r="R16" s="123"/>
      <c r="S16" s="38"/>
      <c r="T16" s="3"/>
      <c r="U16" s="20"/>
      <c r="V16" s="21"/>
      <c r="W16" s="21"/>
      <c r="X16" s="4"/>
      <c r="AA16" s="124" t="s">
        <v>20</v>
      </c>
      <c r="AB16" s="125"/>
      <c r="AC16" s="125"/>
      <c r="AD16" s="1"/>
    </row>
    <row r="17" spans="1:30" ht="9" customHeight="1" thickBot="1" x14ac:dyDescent="0.25">
      <c r="A17" s="6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4"/>
      <c r="AA17" s="1"/>
      <c r="AB17" s="1"/>
      <c r="AC17" s="1"/>
      <c r="AD17" s="1"/>
    </row>
    <row r="18" spans="1:30" ht="33" customHeight="1" thickBot="1" x14ac:dyDescent="0.25">
      <c r="B18" s="56" t="s">
        <v>5</v>
      </c>
      <c r="C18" s="56" t="s">
        <v>6</v>
      </c>
      <c r="D18" s="60"/>
      <c r="E18" s="56" t="s">
        <v>7</v>
      </c>
      <c r="F18" s="12"/>
      <c r="G18" s="56" t="s">
        <v>8</v>
      </c>
      <c r="H18" s="126" t="s">
        <v>9</v>
      </c>
      <c r="I18" s="127"/>
      <c r="J18" s="56" t="s">
        <v>10</v>
      </c>
      <c r="K18" s="126" t="s">
        <v>12</v>
      </c>
      <c r="L18" s="127"/>
      <c r="M18" s="61"/>
      <c r="N18" s="56" t="s">
        <v>13</v>
      </c>
      <c r="O18" s="56" t="s">
        <v>14</v>
      </c>
      <c r="P18" s="56" t="s">
        <v>15</v>
      </c>
      <c r="Q18" s="126" t="s">
        <v>12</v>
      </c>
      <c r="R18" s="127"/>
      <c r="S18" s="1"/>
      <c r="T18" s="4"/>
      <c r="U18" s="17"/>
      <c r="V18" s="17"/>
      <c r="W18" s="128" t="s">
        <v>11</v>
      </c>
      <c r="X18" s="128"/>
      <c r="Y18" s="129" t="s">
        <v>16</v>
      </c>
      <c r="Z18" s="129"/>
      <c r="AA18" s="37" t="s">
        <v>10</v>
      </c>
      <c r="AB18" s="37" t="s">
        <v>10</v>
      </c>
      <c r="AC18" s="37" t="s">
        <v>10</v>
      </c>
    </row>
    <row r="19" spans="1:30" ht="13.5" customHeight="1" thickBot="1" x14ac:dyDescent="0.25">
      <c r="B19" s="99"/>
      <c r="C19" s="99"/>
      <c r="D19" s="13"/>
      <c r="E19" s="62"/>
      <c r="F19" s="62"/>
      <c r="G19" s="57">
        <f t="shared" ref="G19:G48" si="0">IF(C19&gt;$N$12,0,(IF(B19=0,,((($N$12-C19)*$N$13/100)+($N$12-C19)))))</f>
        <v>0</v>
      </c>
      <c r="H19" s="130">
        <f>(G19*($E$12+(G19*$E$13/2+G19*$E$14/2)))</f>
        <v>0</v>
      </c>
      <c r="I19" s="131"/>
      <c r="J19" s="50"/>
      <c r="K19" s="132"/>
      <c r="L19" s="132"/>
      <c r="M19" s="63"/>
      <c r="N19" s="57">
        <f t="shared" ref="N19:N48" si="1">IF($N$12-C19&lt;=0,,IF(C19=0,,C19-$N$14))</f>
        <v>0</v>
      </c>
      <c r="O19" s="57">
        <f t="shared" ref="O19:O48" si="2">IF($N$14=0,,IF(N19=0,,((G19*$E$13)+(G19*$E$14)+$E$12)*((C19-N19))))</f>
        <v>0</v>
      </c>
      <c r="P19" s="50"/>
      <c r="Q19" s="133"/>
      <c r="R19" s="133"/>
      <c r="S19" s="35"/>
      <c r="T19" s="15"/>
      <c r="U19" s="40"/>
      <c r="V19" s="18"/>
      <c r="W19" s="134"/>
      <c r="X19" s="134"/>
      <c r="Y19" s="135"/>
      <c r="Z19" s="135"/>
      <c r="AA19" s="1"/>
      <c r="AB19" s="1"/>
      <c r="AC19" s="1"/>
      <c r="AD19" s="1"/>
    </row>
    <row r="20" spans="1:30" ht="13.5" customHeight="1" x14ac:dyDescent="0.2">
      <c r="B20" s="99"/>
      <c r="C20" s="99"/>
      <c r="D20" s="13"/>
      <c r="E20" s="64">
        <f t="shared" ref="E20:E48" si="3">IF(B20=0,,(B20-B19))</f>
        <v>0</v>
      </c>
      <c r="F20" s="65"/>
      <c r="G20" s="49">
        <f t="shared" si="0"/>
        <v>0</v>
      </c>
      <c r="H20" s="136">
        <f>(G20*($E$12+(G20*$E$13/2+G20*$E$14/2)))</f>
        <v>0</v>
      </c>
      <c r="I20" s="136"/>
      <c r="J20" s="51">
        <f>(H19+H20)/2</f>
        <v>0</v>
      </c>
      <c r="K20" s="137">
        <f t="shared" ref="K20:K48" si="4">(W20*E20)</f>
        <v>0</v>
      </c>
      <c r="L20" s="138"/>
      <c r="M20" s="63"/>
      <c r="N20" s="49">
        <f t="shared" si="1"/>
        <v>0</v>
      </c>
      <c r="O20" s="49">
        <f t="shared" si="2"/>
        <v>0</v>
      </c>
      <c r="P20" s="66">
        <f t="shared" ref="P20:P48" si="5">(O19+O20)/2</f>
        <v>0</v>
      </c>
      <c r="Q20" s="139">
        <f t="shared" ref="Q20:Q48" si="6">(Y20*E20)</f>
        <v>0</v>
      </c>
      <c r="R20" s="138"/>
      <c r="T20" s="15"/>
      <c r="U20" s="18"/>
      <c r="V20" s="18"/>
      <c r="W20" s="140">
        <f t="shared" ref="W20:W48" si="7">(J20/27)</f>
        <v>0</v>
      </c>
      <c r="X20" s="141"/>
      <c r="Y20" s="142">
        <f t="shared" ref="Y20:Y48" si="8">(P20/27)</f>
        <v>0</v>
      </c>
      <c r="Z20" s="143"/>
      <c r="AA20" s="59">
        <f>IF(B19=0,,$E$12+(G19*$E$13)+(G19*$E$14))</f>
        <v>0</v>
      </c>
      <c r="AB20" s="59">
        <f>IF(B19=0,,($N$12-C19)*$E$13)</f>
        <v>0</v>
      </c>
      <c r="AC20" s="144">
        <f>AB20*J20</f>
        <v>0</v>
      </c>
      <c r="AD20" s="145"/>
    </row>
    <row r="21" spans="1:30" ht="13.5" customHeight="1" x14ac:dyDescent="0.2">
      <c r="B21" s="99"/>
      <c r="C21" s="99"/>
      <c r="D21" s="13"/>
      <c r="E21" s="67">
        <f t="shared" si="3"/>
        <v>0</v>
      </c>
      <c r="F21" s="65"/>
      <c r="G21" s="49">
        <f t="shared" si="0"/>
        <v>0</v>
      </c>
      <c r="H21" s="136">
        <f t="shared" ref="H21:H48" si="9">(G21*($E$12+(G21*$E$13/2+G21*$E$14/2)))</f>
        <v>0</v>
      </c>
      <c r="I21" s="136"/>
      <c r="J21" s="49">
        <f t="shared" ref="J21:J48" si="10">(H20+H21)/2</f>
        <v>0</v>
      </c>
      <c r="K21" s="146">
        <f t="shared" si="4"/>
        <v>0</v>
      </c>
      <c r="L21" s="147"/>
      <c r="M21" s="63"/>
      <c r="N21" s="49">
        <f t="shared" si="1"/>
        <v>0</v>
      </c>
      <c r="O21" s="49">
        <f t="shared" si="2"/>
        <v>0</v>
      </c>
      <c r="P21" s="68">
        <f t="shared" si="5"/>
        <v>0</v>
      </c>
      <c r="Q21" s="148">
        <f t="shared" si="6"/>
        <v>0</v>
      </c>
      <c r="R21" s="147"/>
      <c r="T21" s="15"/>
      <c r="U21" s="18"/>
      <c r="V21" s="18"/>
      <c r="W21" s="140">
        <f t="shared" si="7"/>
        <v>0</v>
      </c>
      <c r="X21" s="141"/>
      <c r="Y21" s="142">
        <f t="shared" si="8"/>
        <v>0</v>
      </c>
      <c r="Z21" s="143"/>
      <c r="AA21" s="44">
        <f t="shared" ref="AA21:AA48" si="11">IF(B20=0,,$E$12+(G20*$E$13)+(G20*$E$14))</f>
        <v>0</v>
      </c>
      <c r="AB21" s="44">
        <f>(AA20+AA21)/2</f>
        <v>0</v>
      </c>
      <c r="AC21" s="144">
        <f t="shared" ref="AC21:AC48" si="12">AB21*E21</f>
        <v>0</v>
      </c>
      <c r="AD21" s="145"/>
    </row>
    <row r="22" spans="1:30" ht="13.5" customHeight="1" x14ac:dyDescent="0.2">
      <c r="B22" s="99"/>
      <c r="C22" s="99"/>
      <c r="D22" s="13"/>
      <c r="E22" s="67">
        <f t="shared" si="3"/>
        <v>0</v>
      </c>
      <c r="F22" s="65"/>
      <c r="G22" s="49">
        <f t="shared" si="0"/>
        <v>0</v>
      </c>
      <c r="H22" s="136">
        <f t="shared" si="9"/>
        <v>0</v>
      </c>
      <c r="I22" s="136"/>
      <c r="J22" s="49">
        <f t="shared" si="10"/>
        <v>0</v>
      </c>
      <c r="K22" s="146">
        <f t="shared" si="4"/>
        <v>0</v>
      </c>
      <c r="L22" s="147"/>
      <c r="M22" s="63"/>
      <c r="N22" s="49">
        <f t="shared" si="1"/>
        <v>0</v>
      </c>
      <c r="O22" s="49">
        <f t="shared" si="2"/>
        <v>0</v>
      </c>
      <c r="P22" s="68">
        <f t="shared" si="5"/>
        <v>0</v>
      </c>
      <c r="Q22" s="148">
        <f t="shared" si="6"/>
        <v>0</v>
      </c>
      <c r="R22" s="147"/>
      <c r="T22" s="15"/>
      <c r="U22" s="18"/>
      <c r="V22" s="18"/>
      <c r="W22" s="140">
        <f t="shared" si="7"/>
        <v>0</v>
      </c>
      <c r="X22" s="141"/>
      <c r="Y22" s="142">
        <f t="shared" si="8"/>
        <v>0</v>
      </c>
      <c r="Z22" s="143"/>
      <c r="AA22" s="44">
        <f t="shared" si="11"/>
        <v>0</v>
      </c>
      <c r="AB22" s="44">
        <f t="shared" ref="AB22:AB48" si="13">(AA21+AA22)/2</f>
        <v>0</v>
      </c>
      <c r="AC22" s="144">
        <f t="shared" si="12"/>
        <v>0</v>
      </c>
      <c r="AD22" s="145"/>
    </row>
    <row r="23" spans="1:30" ht="13.5" customHeight="1" x14ac:dyDescent="0.2">
      <c r="B23" s="99"/>
      <c r="C23" s="99"/>
      <c r="D23" s="13"/>
      <c r="E23" s="67">
        <f t="shared" si="3"/>
        <v>0</v>
      </c>
      <c r="F23" s="65"/>
      <c r="G23" s="49">
        <f t="shared" si="0"/>
        <v>0</v>
      </c>
      <c r="H23" s="136">
        <f t="shared" si="9"/>
        <v>0</v>
      </c>
      <c r="I23" s="136"/>
      <c r="J23" s="49">
        <f t="shared" si="10"/>
        <v>0</v>
      </c>
      <c r="K23" s="146">
        <f t="shared" si="4"/>
        <v>0</v>
      </c>
      <c r="L23" s="147"/>
      <c r="M23" s="63"/>
      <c r="N23" s="49">
        <f t="shared" si="1"/>
        <v>0</v>
      </c>
      <c r="O23" s="49">
        <f t="shared" si="2"/>
        <v>0</v>
      </c>
      <c r="P23" s="68">
        <f t="shared" si="5"/>
        <v>0</v>
      </c>
      <c r="Q23" s="148">
        <f t="shared" si="6"/>
        <v>0</v>
      </c>
      <c r="R23" s="147"/>
      <c r="T23" s="15"/>
      <c r="U23" s="18"/>
      <c r="V23" s="18"/>
      <c r="W23" s="140">
        <f t="shared" si="7"/>
        <v>0</v>
      </c>
      <c r="X23" s="141"/>
      <c r="Y23" s="142">
        <f t="shared" si="8"/>
        <v>0</v>
      </c>
      <c r="Z23" s="143"/>
      <c r="AA23" s="44">
        <f t="shared" si="11"/>
        <v>0</v>
      </c>
      <c r="AB23" s="44">
        <f t="shared" si="13"/>
        <v>0</v>
      </c>
      <c r="AC23" s="144">
        <f t="shared" si="12"/>
        <v>0</v>
      </c>
      <c r="AD23" s="145"/>
    </row>
    <row r="24" spans="1:30" ht="13.5" customHeight="1" x14ac:dyDescent="0.2">
      <c r="B24" s="99"/>
      <c r="C24" s="99"/>
      <c r="D24" s="13"/>
      <c r="E24" s="67">
        <f t="shared" si="3"/>
        <v>0</v>
      </c>
      <c r="F24" s="65"/>
      <c r="G24" s="49">
        <f t="shared" si="0"/>
        <v>0</v>
      </c>
      <c r="H24" s="136">
        <f t="shared" si="9"/>
        <v>0</v>
      </c>
      <c r="I24" s="136"/>
      <c r="J24" s="49">
        <f t="shared" si="10"/>
        <v>0</v>
      </c>
      <c r="K24" s="146">
        <f t="shared" si="4"/>
        <v>0</v>
      </c>
      <c r="L24" s="147"/>
      <c r="M24" s="63"/>
      <c r="N24" s="49">
        <f t="shared" si="1"/>
        <v>0</v>
      </c>
      <c r="O24" s="49">
        <f t="shared" si="2"/>
        <v>0</v>
      </c>
      <c r="P24" s="68">
        <f t="shared" si="5"/>
        <v>0</v>
      </c>
      <c r="Q24" s="148">
        <f t="shared" si="6"/>
        <v>0</v>
      </c>
      <c r="R24" s="147"/>
      <c r="T24" s="15"/>
      <c r="U24" s="18"/>
      <c r="V24" s="18"/>
      <c r="W24" s="140">
        <f t="shared" si="7"/>
        <v>0</v>
      </c>
      <c r="X24" s="141"/>
      <c r="Y24" s="142">
        <f t="shared" si="8"/>
        <v>0</v>
      </c>
      <c r="Z24" s="143"/>
      <c r="AA24" s="44">
        <f t="shared" si="11"/>
        <v>0</v>
      </c>
      <c r="AB24" s="44">
        <f t="shared" si="13"/>
        <v>0</v>
      </c>
      <c r="AC24" s="144">
        <f t="shared" si="12"/>
        <v>0</v>
      </c>
      <c r="AD24" s="145"/>
    </row>
    <row r="25" spans="1:30" ht="13.5" customHeight="1" x14ac:dyDescent="0.2">
      <c r="B25" s="99"/>
      <c r="C25" s="99"/>
      <c r="D25" s="13"/>
      <c r="E25" s="67">
        <f t="shared" si="3"/>
        <v>0</v>
      </c>
      <c r="F25" s="65"/>
      <c r="G25" s="49">
        <f t="shared" si="0"/>
        <v>0</v>
      </c>
      <c r="H25" s="136">
        <f t="shared" si="9"/>
        <v>0</v>
      </c>
      <c r="I25" s="136"/>
      <c r="J25" s="49">
        <f t="shared" si="10"/>
        <v>0</v>
      </c>
      <c r="K25" s="146">
        <f t="shared" si="4"/>
        <v>0</v>
      </c>
      <c r="L25" s="147"/>
      <c r="M25" s="63"/>
      <c r="N25" s="49">
        <f t="shared" si="1"/>
        <v>0</v>
      </c>
      <c r="O25" s="49">
        <f t="shared" si="2"/>
        <v>0</v>
      </c>
      <c r="P25" s="68">
        <f t="shared" si="5"/>
        <v>0</v>
      </c>
      <c r="Q25" s="148">
        <f t="shared" si="6"/>
        <v>0</v>
      </c>
      <c r="R25" s="147"/>
      <c r="T25" s="15"/>
      <c r="U25" s="18"/>
      <c r="V25" s="18"/>
      <c r="W25" s="140">
        <f t="shared" si="7"/>
        <v>0</v>
      </c>
      <c r="X25" s="141"/>
      <c r="Y25" s="142">
        <f t="shared" si="8"/>
        <v>0</v>
      </c>
      <c r="Z25" s="143"/>
      <c r="AA25" s="44">
        <f t="shared" si="11"/>
        <v>0</v>
      </c>
      <c r="AB25" s="44">
        <f t="shared" si="13"/>
        <v>0</v>
      </c>
      <c r="AC25" s="144">
        <f t="shared" si="12"/>
        <v>0</v>
      </c>
      <c r="AD25" s="145"/>
    </row>
    <row r="26" spans="1:30" ht="13.5" customHeight="1" x14ac:dyDescent="0.2">
      <c r="B26" s="99"/>
      <c r="C26" s="99"/>
      <c r="D26" s="13"/>
      <c r="E26" s="67">
        <f t="shared" si="3"/>
        <v>0</v>
      </c>
      <c r="F26" s="65"/>
      <c r="G26" s="49">
        <f t="shared" si="0"/>
        <v>0</v>
      </c>
      <c r="H26" s="136">
        <f t="shared" si="9"/>
        <v>0</v>
      </c>
      <c r="I26" s="136"/>
      <c r="J26" s="49">
        <f t="shared" si="10"/>
        <v>0</v>
      </c>
      <c r="K26" s="146">
        <f t="shared" si="4"/>
        <v>0</v>
      </c>
      <c r="L26" s="147"/>
      <c r="M26" s="63"/>
      <c r="N26" s="49">
        <f t="shared" si="1"/>
        <v>0</v>
      </c>
      <c r="O26" s="49">
        <f t="shared" si="2"/>
        <v>0</v>
      </c>
      <c r="P26" s="68">
        <f t="shared" si="5"/>
        <v>0</v>
      </c>
      <c r="Q26" s="148">
        <f t="shared" si="6"/>
        <v>0</v>
      </c>
      <c r="R26" s="147"/>
      <c r="T26" s="15"/>
      <c r="U26" s="18"/>
      <c r="V26" s="18"/>
      <c r="W26" s="140">
        <f t="shared" si="7"/>
        <v>0</v>
      </c>
      <c r="X26" s="141"/>
      <c r="Y26" s="142">
        <f t="shared" si="8"/>
        <v>0</v>
      </c>
      <c r="Z26" s="143"/>
      <c r="AA26" s="44">
        <f t="shared" si="11"/>
        <v>0</v>
      </c>
      <c r="AB26" s="44">
        <f t="shared" si="13"/>
        <v>0</v>
      </c>
      <c r="AC26" s="144">
        <f t="shared" si="12"/>
        <v>0</v>
      </c>
      <c r="AD26" s="145"/>
    </row>
    <row r="27" spans="1:30" ht="13.5" customHeight="1" x14ac:dyDescent="0.2">
      <c r="B27" s="99"/>
      <c r="C27" s="99"/>
      <c r="D27" s="13"/>
      <c r="E27" s="67">
        <f t="shared" si="3"/>
        <v>0</v>
      </c>
      <c r="F27" s="65"/>
      <c r="G27" s="49">
        <f t="shared" si="0"/>
        <v>0</v>
      </c>
      <c r="H27" s="136">
        <f t="shared" si="9"/>
        <v>0</v>
      </c>
      <c r="I27" s="136"/>
      <c r="J27" s="49">
        <f t="shared" si="10"/>
        <v>0</v>
      </c>
      <c r="K27" s="146">
        <f t="shared" si="4"/>
        <v>0</v>
      </c>
      <c r="L27" s="147"/>
      <c r="M27" s="63"/>
      <c r="N27" s="49">
        <f t="shared" si="1"/>
        <v>0</v>
      </c>
      <c r="O27" s="49">
        <f t="shared" si="2"/>
        <v>0</v>
      </c>
      <c r="P27" s="68">
        <f t="shared" si="5"/>
        <v>0</v>
      </c>
      <c r="Q27" s="148">
        <f t="shared" si="6"/>
        <v>0</v>
      </c>
      <c r="R27" s="147"/>
      <c r="T27" s="15"/>
      <c r="U27" s="18"/>
      <c r="V27" s="18"/>
      <c r="W27" s="140">
        <f t="shared" si="7"/>
        <v>0</v>
      </c>
      <c r="X27" s="141"/>
      <c r="Y27" s="142">
        <f t="shared" si="8"/>
        <v>0</v>
      </c>
      <c r="Z27" s="143"/>
      <c r="AA27" s="44">
        <f t="shared" si="11"/>
        <v>0</v>
      </c>
      <c r="AB27" s="44">
        <f t="shared" si="13"/>
        <v>0</v>
      </c>
      <c r="AC27" s="144">
        <f t="shared" si="12"/>
        <v>0</v>
      </c>
      <c r="AD27" s="145"/>
    </row>
    <row r="28" spans="1:30" ht="13.5" customHeight="1" x14ac:dyDescent="0.2">
      <c r="B28" s="99"/>
      <c r="C28" s="99"/>
      <c r="D28" s="13"/>
      <c r="E28" s="67">
        <f t="shared" si="3"/>
        <v>0</v>
      </c>
      <c r="F28" s="65"/>
      <c r="G28" s="49">
        <f t="shared" si="0"/>
        <v>0</v>
      </c>
      <c r="H28" s="136">
        <f t="shared" si="9"/>
        <v>0</v>
      </c>
      <c r="I28" s="136"/>
      <c r="J28" s="49">
        <f t="shared" si="10"/>
        <v>0</v>
      </c>
      <c r="K28" s="146">
        <f t="shared" si="4"/>
        <v>0</v>
      </c>
      <c r="L28" s="147"/>
      <c r="M28" s="63"/>
      <c r="N28" s="49">
        <f t="shared" si="1"/>
        <v>0</v>
      </c>
      <c r="O28" s="49">
        <f t="shared" si="2"/>
        <v>0</v>
      </c>
      <c r="P28" s="68">
        <f t="shared" si="5"/>
        <v>0</v>
      </c>
      <c r="Q28" s="148">
        <f t="shared" si="6"/>
        <v>0</v>
      </c>
      <c r="R28" s="147"/>
      <c r="T28" s="15"/>
      <c r="U28" s="18"/>
      <c r="V28" s="18"/>
      <c r="W28" s="140">
        <f t="shared" si="7"/>
        <v>0</v>
      </c>
      <c r="X28" s="141"/>
      <c r="Y28" s="142">
        <f t="shared" si="8"/>
        <v>0</v>
      </c>
      <c r="Z28" s="143"/>
      <c r="AA28" s="44">
        <f t="shared" si="11"/>
        <v>0</v>
      </c>
      <c r="AB28" s="44">
        <f t="shared" si="13"/>
        <v>0</v>
      </c>
      <c r="AC28" s="144">
        <f t="shared" si="12"/>
        <v>0</v>
      </c>
      <c r="AD28" s="145"/>
    </row>
    <row r="29" spans="1:30" ht="13.5" customHeight="1" x14ac:dyDescent="0.2">
      <c r="B29" s="99"/>
      <c r="C29" s="99"/>
      <c r="D29" s="13"/>
      <c r="E29" s="67">
        <f t="shared" si="3"/>
        <v>0</v>
      </c>
      <c r="F29" s="65"/>
      <c r="G29" s="49">
        <f t="shared" si="0"/>
        <v>0</v>
      </c>
      <c r="H29" s="136">
        <f t="shared" si="9"/>
        <v>0</v>
      </c>
      <c r="I29" s="136"/>
      <c r="J29" s="49">
        <f t="shared" si="10"/>
        <v>0</v>
      </c>
      <c r="K29" s="146">
        <f t="shared" si="4"/>
        <v>0</v>
      </c>
      <c r="L29" s="147"/>
      <c r="M29" s="63"/>
      <c r="N29" s="49">
        <f t="shared" si="1"/>
        <v>0</v>
      </c>
      <c r="O29" s="49">
        <f t="shared" si="2"/>
        <v>0</v>
      </c>
      <c r="P29" s="68">
        <f t="shared" si="5"/>
        <v>0</v>
      </c>
      <c r="Q29" s="148">
        <f t="shared" si="6"/>
        <v>0</v>
      </c>
      <c r="R29" s="147"/>
      <c r="T29" s="15"/>
      <c r="U29" s="18"/>
      <c r="V29" s="18"/>
      <c r="W29" s="140">
        <f t="shared" si="7"/>
        <v>0</v>
      </c>
      <c r="X29" s="141"/>
      <c r="Y29" s="142">
        <f t="shared" si="8"/>
        <v>0</v>
      </c>
      <c r="Z29" s="143"/>
      <c r="AA29" s="44">
        <f t="shared" si="11"/>
        <v>0</v>
      </c>
      <c r="AB29" s="44">
        <f t="shared" si="13"/>
        <v>0</v>
      </c>
      <c r="AC29" s="144">
        <f t="shared" si="12"/>
        <v>0</v>
      </c>
      <c r="AD29" s="145"/>
    </row>
    <row r="30" spans="1:30" ht="13.5" customHeight="1" x14ac:dyDescent="0.2">
      <c r="B30" s="99"/>
      <c r="C30" s="99"/>
      <c r="D30" s="13"/>
      <c r="E30" s="67">
        <f t="shared" si="3"/>
        <v>0</v>
      </c>
      <c r="F30" s="65"/>
      <c r="G30" s="49">
        <f t="shared" si="0"/>
        <v>0</v>
      </c>
      <c r="H30" s="136">
        <f t="shared" si="9"/>
        <v>0</v>
      </c>
      <c r="I30" s="136"/>
      <c r="J30" s="49">
        <f t="shared" si="10"/>
        <v>0</v>
      </c>
      <c r="K30" s="146">
        <f t="shared" si="4"/>
        <v>0</v>
      </c>
      <c r="L30" s="147"/>
      <c r="M30" s="63"/>
      <c r="N30" s="49">
        <f t="shared" si="1"/>
        <v>0</v>
      </c>
      <c r="O30" s="49">
        <f t="shared" si="2"/>
        <v>0</v>
      </c>
      <c r="P30" s="68">
        <f t="shared" si="5"/>
        <v>0</v>
      </c>
      <c r="Q30" s="148">
        <f t="shared" si="6"/>
        <v>0</v>
      </c>
      <c r="R30" s="147"/>
      <c r="T30" s="15"/>
      <c r="U30" s="18"/>
      <c r="V30" s="18"/>
      <c r="W30" s="140">
        <f t="shared" si="7"/>
        <v>0</v>
      </c>
      <c r="X30" s="141"/>
      <c r="Y30" s="142">
        <f t="shared" si="8"/>
        <v>0</v>
      </c>
      <c r="Z30" s="143"/>
      <c r="AA30" s="44">
        <f t="shared" si="11"/>
        <v>0</v>
      </c>
      <c r="AB30" s="44">
        <f t="shared" si="13"/>
        <v>0</v>
      </c>
      <c r="AC30" s="144">
        <f t="shared" si="12"/>
        <v>0</v>
      </c>
      <c r="AD30" s="145"/>
    </row>
    <row r="31" spans="1:30" ht="13.5" customHeight="1" x14ac:dyDescent="0.2">
      <c r="B31" s="99"/>
      <c r="C31" s="99"/>
      <c r="D31" s="13"/>
      <c r="E31" s="67">
        <f t="shared" si="3"/>
        <v>0</v>
      </c>
      <c r="F31" s="65"/>
      <c r="G31" s="49">
        <f t="shared" si="0"/>
        <v>0</v>
      </c>
      <c r="H31" s="136">
        <f t="shared" si="9"/>
        <v>0</v>
      </c>
      <c r="I31" s="136"/>
      <c r="J31" s="49">
        <f t="shared" si="10"/>
        <v>0</v>
      </c>
      <c r="K31" s="146">
        <f t="shared" si="4"/>
        <v>0</v>
      </c>
      <c r="L31" s="147"/>
      <c r="M31" s="63"/>
      <c r="N31" s="49">
        <f t="shared" si="1"/>
        <v>0</v>
      </c>
      <c r="O31" s="49">
        <f t="shared" si="2"/>
        <v>0</v>
      </c>
      <c r="P31" s="68">
        <f t="shared" si="5"/>
        <v>0</v>
      </c>
      <c r="Q31" s="148">
        <f t="shared" si="6"/>
        <v>0</v>
      </c>
      <c r="R31" s="147"/>
      <c r="T31" s="15"/>
      <c r="U31" s="18"/>
      <c r="V31" s="18"/>
      <c r="W31" s="140">
        <f t="shared" si="7"/>
        <v>0</v>
      </c>
      <c r="X31" s="141"/>
      <c r="Y31" s="142">
        <f t="shared" si="8"/>
        <v>0</v>
      </c>
      <c r="Z31" s="143"/>
      <c r="AA31" s="44">
        <f t="shared" si="11"/>
        <v>0</v>
      </c>
      <c r="AB31" s="44">
        <f t="shared" si="13"/>
        <v>0</v>
      </c>
      <c r="AC31" s="144">
        <f t="shared" si="12"/>
        <v>0</v>
      </c>
      <c r="AD31" s="145"/>
    </row>
    <row r="32" spans="1:30" ht="13.5" customHeight="1" x14ac:dyDescent="0.2">
      <c r="B32" s="99"/>
      <c r="C32" s="99"/>
      <c r="D32" s="13"/>
      <c r="E32" s="67">
        <f t="shared" si="3"/>
        <v>0</v>
      </c>
      <c r="F32" s="65"/>
      <c r="G32" s="49">
        <f t="shared" si="0"/>
        <v>0</v>
      </c>
      <c r="H32" s="136">
        <f t="shared" si="9"/>
        <v>0</v>
      </c>
      <c r="I32" s="136"/>
      <c r="J32" s="49">
        <f t="shared" si="10"/>
        <v>0</v>
      </c>
      <c r="K32" s="146">
        <f t="shared" si="4"/>
        <v>0</v>
      </c>
      <c r="L32" s="147"/>
      <c r="M32" s="63"/>
      <c r="N32" s="49">
        <f t="shared" si="1"/>
        <v>0</v>
      </c>
      <c r="O32" s="49">
        <f t="shared" si="2"/>
        <v>0</v>
      </c>
      <c r="P32" s="68">
        <f t="shared" si="5"/>
        <v>0</v>
      </c>
      <c r="Q32" s="148">
        <f t="shared" si="6"/>
        <v>0</v>
      </c>
      <c r="R32" s="147"/>
      <c r="T32" s="15"/>
      <c r="U32" s="18"/>
      <c r="V32" s="18"/>
      <c r="W32" s="140">
        <f t="shared" si="7"/>
        <v>0</v>
      </c>
      <c r="X32" s="141"/>
      <c r="Y32" s="142">
        <f t="shared" si="8"/>
        <v>0</v>
      </c>
      <c r="Z32" s="143"/>
      <c r="AA32" s="44">
        <f t="shared" si="11"/>
        <v>0</v>
      </c>
      <c r="AB32" s="44">
        <f t="shared" si="13"/>
        <v>0</v>
      </c>
      <c r="AC32" s="144">
        <f t="shared" si="12"/>
        <v>0</v>
      </c>
      <c r="AD32" s="145"/>
    </row>
    <row r="33" spans="2:32" ht="13.5" customHeight="1" x14ac:dyDescent="0.2">
      <c r="B33" s="99"/>
      <c r="C33" s="99"/>
      <c r="D33" s="13"/>
      <c r="E33" s="67">
        <f t="shared" si="3"/>
        <v>0</v>
      </c>
      <c r="F33" s="65"/>
      <c r="G33" s="49">
        <f t="shared" si="0"/>
        <v>0</v>
      </c>
      <c r="H33" s="136">
        <f t="shared" si="9"/>
        <v>0</v>
      </c>
      <c r="I33" s="136"/>
      <c r="J33" s="49">
        <f t="shared" si="10"/>
        <v>0</v>
      </c>
      <c r="K33" s="146">
        <f t="shared" si="4"/>
        <v>0</v>
      </c>
      <c r="L33" s="147"/>
      <c r="M33" s="63"/>
      <c r="N33" s="49">
        <f t="shared" si="1"/>
        <v>0</v>
      </c>
      <c r="O33" s="49">
        <f t="shared" si="2"/>
        <v>0</v>
      </c>
      <c r="P33" s="68">
        <f t="shared" si="5"/>
        <v>0</v>
      </c>
      <c r="Q33" s="148">
        <f t="shared" si="6"/>
        <v>0</v>
      </c>
      <c r="R33" s="147"/>
      <c r="T33" s="15"/>
      <c r="U33" s="18"/>
      <c r="V33" s="18"/>
      <c r="W33" s="140">
        <f t="shared" si="7"/>
        <v>0</v>
      </c>
      <c r="X33" s="141"/>
      <c r="Y33" s="142">
        <f t="shared" si="8"/>
        <v>0</v>
      </c>
      <c r="Z33" s="143"/>
      <c r="AA33" s="44">
        <f t="shared" si="11"/>
        <v>0</v>
      </c>
      <c r="AB33" s="44">
        <f t="shared" si="13"/>
        <v>0</v>
      </c>
      <c r="AC33" s="144">
        <f t="shared" si="12"/>
        <v>0</v>
      </c>
      <c r="AD33" s="145"/>
    </row>
    <row r="34" spans="2:32" ht="13.5" customHeight="1" x14ac:dyDescent="0.2">
      <c r="B34" s="99"/>
      <c r="C34" s="99"/>
      <c r="D34" s="13"/>
      <c r="E34" s="67">
        <f t="shared" si="3"/>
        <v>0</v>
      </c>
      <c r="F34" s="65"/>
      <c r="G34" s="49">
        <f t="shared" si="0"/>
        <v>0</v>
      </c>
      <c r="H34" s="136">
        <f t="shared" si="9"/>
        <v>0</v>
      </c>
      <c r="I34" s="136"/>
      <c r="J34" s="49">
        <f t="shared" si="10"/>
        <v>0</v>
      </c>
      <c r="K34" s="146">
        <f t="shared" si="4"/>
        <v>0</v>
      </c>
      <c r="L34" s="147"/>
      <c r="M34" s="63"/>
      <c r="N34" s="49">
        <f t="shared" si="1"/>
        <v>0</v>
      </c>
      <c r="O34" s="49">
        <f t="shared" si="2"/>
        <v>0</v>
      </c>
      <c r="P34" s="68">
        <f t="shared" si="5"/>
        <v>0</v>
      </c>
      <c r="Q34" s="148">
        <f t="shared" si="6"/>
        <v>0</v>
      </c>
      <c r="R34" s="147"/>
      <c r="T34" s="15"/>
      <c r="U34" s="18"/>
      <c r="V34" s="18"/>
      <c r="W34" s="140">
        <f t="shared" si="7"/>
        <v>0</v>
      </c>
      <c r="X34" s="141"/>
      <c r="Y34" s="142">
        <f t="shared" si="8"/>
        <v>0</v>
      </c>
      <c r="Z34" s="143"/>
      <c r="AA34" s="44">
        <f t="shared" si="11"/>
        <v>0</v>
      </c>
      <c r="AB34" s="44">
        <f t="shared" si="13"/>
        <v>0</v>
      </c>
      <c r="AC34" s="144">
        <f t="shared" si="12"/>
        <v>0</v>
      </c>
      <c r="AD34" s="145"/>
    </row>
    <row r="35" spans="2:32" ht="13.5" customHeight="1" x14ac:dyDescent="0.2">
      <c r="B35" s="99"/>
      <c r="C35" s="99"/>
      <c r="D35" s="13"/>
      <c r="E35" s="67">
        <f t="shared" si="3"/>
        <v>0</v>
      </c>
      <c r="F35" s="65"/>
      <c r="G35" s="49">
        <f t="shared" si="0"/>
        <v>0</v>
      </c>
      <c r="H35" s="136">
        <f t="shared" si="9"/>
        <v>0</v>
      </c>
      <c r="I35" s="136"/>
      <c r="J35" s="49">
        <f t="shared" si="10"/>
        <v>0</v>
      </c>
      <c r="K35" s="146">
        <f t="shared" si="4"/>
        <v>0</v>
      </c>
      <c r="L35" s="147"/>
      <c r="M35" s="63"/>
      <c r="N35" s="49">
        <f t="shared" si="1"/>
        <v>0</v>
      </c>
      <c r="O35" s="49">
        <f t="shared" si="2"/>
        <v>0</v>
      </c>
      <c r="P35" s="68">
        <f t="shared" si="5"/>
        <v>0</v>
      </c>
      <c r="Q35" s="148">
        <f t="shared" si="6"/>
        <v>0</v>
      </c>
      <c r="R35" s="147"/>
      <c r="T35" s="15"/>
      <c r="U35" s="18"/>
      <c r="V35" s="18"/>
      <c r="W35" s="140">
        <f t="shared" si="7"/>
        <v>0</v>
      </c>
      <c r="X35" s="141"/>
      <c r="Y35" s="142">
        <f t="shared" si="8"/>
        <v>0</v>
      </c>
      <c r="Z35" s="143"/>
      <c r="AA35" s="44">
        <f t="shared" si="11"/>
        <v>0</v>
      </c>
      <c r="AB35" s="44">
        <f t="shared" si="13"/>
        <v>0</v>
      </c>
      <c r="AC35" s="144">
        <f t="shared" si="12"/>
        <v>0</v>
      </c>
      <c r="AD35" s="145"/>
    </row>
    <row r="36" spans="2:32" ht="13.5" customHeight="1" x14ac:dyDescent="0.2">
      <c r="B36" s="99"/>
      <c r="C36" s="99"/>
      <c r="D36" s="13"/>
      <c r="E36" s="67">
        <f t="shared" si="3"/>
        <v>0</v>
      </c>
      <c r="F36" s="65"/>
      <c r="G36" s="49">
        <f t="shared" si="0"/>
        <v>0</v>
      </c>
      <c r="H36" s="136">
        <f t="shared" si="9"/>
        <v>0</v>
      </c>
      <c r="I36" s="136"/>
      <c r="J36" s="49">
        <f t="shared" si="10"/>
        <v>0</v>
      </c>
      <c r="K36" s="146">
        <f t="shared" si="4"/>
        <v>0</v>
      </c>
      <c r="L36" s="147"/>
      <c r="M36" s="63"/>
      <c r="N36" s="49">
        <f t="shared" si="1"/>
        <v>0</v>
      </c>
      <c r="O36" s="49">
        <f t="shared" si="2"/>
        <v>0</v>
      </c>
      <c r="P36" s="68">
        <f t="shared" si="5"/>
        <v>0</v>
      </c>
      <c r="Q36" s="148">
        <f t="shared" si="6"/>
        <v>0</v>
      </c>
      <c r="R36" s="147"/>
      <c r="T36" s="15"/>
      <c r="U36" s="18"/>
      <c r="V36" s="18"/>
      <c r="W36" s="140">
        <f t="shared" si="7"/>
        <v>0</v>
      </c>
      <c r="X36" s="141"/>
      <c r="Y36" s="142">
        <f t="shared" si="8"/>
        <v>0</v>
      </c>
      <c r="Z36" s="143"/>
      <c r="AA36" s="44">
        <f t="shared" si="11"/>
        <v>0</v>
      </c>
      <c r="AB36" s="44">
        <f t="shared" si="13"/>
        <v>0</v>
      </c>
      <c r="AC36" s="144">
        <f t="shared" si="12"/>
        <v>0</v>
      </c>
      <c r="AD36" s="145"/>
    </row>
    <row r="37" spans="2:32" ht="13.5" customHeight="1" x14ac:dyDescent="0.2">
      <c r="B37" s="99"/>
      <c r="C37" s="99"/>
      <c r="D37" s="13"/>
      <c r="E37" s="67">
        <f t="shared" si="3"/>
        <v>0</v>
      </c>
      <c r="F37" s="65"/>
      <c r="G37" s="49">
        <f t="shared" si="0"/>
        <v>0</v>
      </c>
      <c r="H37" s="136">
        <f t="shared" si="9"/>
        <v>0</v>
      </c>
      <c r="I37" s="136"/>
      <c r="J37" s="49">
        <f t="shared" si="10"/>
        <v>0</v>
      </c>
      <c r="K37" s="146">
        <f t="shared" si="4"/>
        <v>0</v>
      </c>
      <c r="L37" s="147"/>
      <c r="M37" s="63"/>
      <c r="N37" s="49">
        <f t="shared" si="1"/>
        <v>0</v>
      </c>
      <c r="O37" s="49">
        <f t="shared" si="2"/>
        <v>0</v>
      </c>
      <c r="P37" s="68">
        <f t="shared" si="5"/>
        <v>0</v>
      </c>
      <c r="Q37" s="148">
        <f t="shared" si="6"/>
        <v>0</v>
      </c>
      <c r="R37" s="147"/>
      <c r="T37" s="15"/>
      <c r="U37" s="18"/>
      <c r="V37" s="18"/>
      <c r="W37" s="140">
        <f t="shared" si="7"/>
        <v>0</v>
      </c>
      <c r="X37" s="141"/>
      <c r="Y37" s="142">
        <f t="shared" si="8"/>
        <v>0</v>
      </c>
      <c r="Z37" s="143"/>
      <c r="AA37" s="44">
        <f t="shared" si="11"/>
        <v>0</v>
      </c>
      <c r="AB37" s="44">
        <f t="shared" si="13"/>
        <v>0</v>
      </c>
      <c r="AC37" s="144">
        <f t="shared" si="12"/>
        <v>0</v>
      </c>
      <c r="AD37" s="145"/>
    </row>
    <row r="38" spans="2:32" ht="13.5" customHeight="1" x14ac:dyDescent="0.2">
      <c r="B38" s="99"/>
      <c r="C38" s="99"/>
      <c r="D38" s="13"/>
      <c r="E38" s="67">
        <f t="shared" si="3"/>
        <v>0</v>
      </c>
      <c r="F38" s="65"/>
      <c r="G38" s="49">
        <f t="shared" si="0"/>
        <v>0</v>
      </c>
      <c r="H38" s="136">
        <f t="shared" si="9"/>
        <v>0</v>
      </c>
      <c r="I38" s="136"/>
      <c r="J38" s="49">
        <f t="shared" si="10"/>
        <v>0</v>
      </c>
      <c r="K38" s="146">
        <f t="shared" si="4"/>
        <v>0</v>
      </c>
      <c r="L38" s="147"/>
      <c r="M38" s="63"/>
      <c r="N38" s="49">
        <f t="shared" si="1"/>
        <v>0</v>
      </c>
      <c r="O38" s="49">
        <f t="shared" si="2"/>
        <v>0</v>
      </c>
      <c r="P38" s="68">
        <f t="shared" si="5"/>
        <v>0</v>
      </c>
      <c r="Q38" s="148">
        <f t="shared" si="6"/>
        <v>0</v>
      </c>
      <c r="R38" s="147"/>
      <c r="T38" s="15"/>
      <c r="U38" s="18"/>
      <c r="V38" s="18"/>
      <c r="W38" s="140">
        <f t="shared" si="7"/>
        <v>0</v>
      </c>
      <c r="X38" s="141"/>
      <c r="Y38" s="142">
        <f t="shared" si="8"/>
        <v>0</v>
      </c>
      <c r="Z38" s="143"/>
      <c r="AA38" s="44">
        <f t="shared" si="11"/>
        <v>0</v>
      </c>
      <c r="AB38" s="44">
        <f t="shared" si="13"/>
        <v>0</v>
      </c>
      <c r="AC38" s="144">
        <f t="shared" si="12"/>
        <v>0</v>
      </c>
      <c r="AD38" s="145"/>
    </row>
    <row r="39" spans="2:32" ht="13.5" customHeight="1" x14ac:dyDescent="0.2">
      <c r="B39" s="99"/>
      <c r="C39" s="99"/>
      <c r="D39" s="13"/>
      <c r="E39" s="67">
        <f t="shared" si="3"/>
        <v>0</v>
      </c>
      <c r="F39" s="65"/>
      <c r="G39" s="49">
        <f t="shared" si="0"/>
        <v>0</v>
      </c>
      <c r="H39" s="136">
        <f t="shared" si="9"/>
        <v>0</v>
      </c>
      <c r="I39" s="136"/>
      <c r="J39" s="49">
        <f t="shared" si="10"/>
        <v>0</v>
      </c>
      <c r="K39" s="146">
        <f t="shared" si="4"/>
        <v>0</v>
      </c>
      <c r="L39" s="147"/>
      <c r="M39" s="63"/>
      <c r="N39" s="49">
        <f t="shared" si="1"/>
        <v>0</v>
      </c>
      <c r="O39" s="49">
        <f t="shared" si="2"/>
        <v>0</v>
      </c>
      <c r="P39" s="68">
        <f t="shared" si="5"/>
        <v>0</v>
      </c>
      <c r="Q39" s="148">
        <f t="shared" si="6"/>
        <v>0</v>
      </c>
      <c r="R39" s="147"/>
      <c r="T39" s="15"/>
      <c r="U39" s="18"/>
      <c r="V39" s="18"/>
      <c r="W39" s="140">
        <f t="shared" si="7"/>
        <v>0</v>
      </c>
      <c r="X39" s="141"/>
      <c r="Y39" s="142">
        <f t="shared" si="8"/>
        <v>0</v>
      </c>
      <c r="Z39" s="143"/>
      <c r="AA39" s="44">
        <f t="shared" si="11"/>
        <v>0</v>
      </c>
      <c r="AB39" s="44">
        <f t="shared" si="13"/>
        <v>0</v>
      </c>
      <c r="AC39" s="144">
        <f t="shared" si="12"/>
        <v>0</v>
      </c>
      <c r="AD39" s="145"/>
    </row>
    <row r="40" spans="2:32" ht="13.5" customHeight="1" x14ac:dyDescent="0.2">
      <c r="B40" s="99"/>
      <c r="C40" s="99"/>
      <c r="D40" s="13"/>
      <c r="E40" s="67">
        <f t="shared" si="3"/>
        <v>0</v>
      </c>
      <c r="F40" s="65"/>
      <c r="G40" s="49">
        <f t="shared" si="0"/>
        <v>0</v>
      </c>
      <c r="H40" s="136">
        <f t="shared" si="9"/>
        <v>0</v>
      </c>
      <c r="I40" s="136"/>
      <c r="J40" s="49">
        <f t="shared" si="10"/>
        <v>0</v>
      </c>
      <c r="K40" s="146">
        <f t="shared" si="4"/>
        <v>0</v>
      </c>
      <c r="L40" s="147"/>
      <c r="M40" s="63"/>
      <c r="N40" s="49">
        <f t="shared" si="1"/>
        <v>0</v>
      </c>
      <c r="O40" s="49">
        <f t="shared" si="2"/>
        <v>0</v>
      </c>
      <c r="P40" s="68">
        <f t="shared" si="5"/>
        <v>0</v>
      </c>
      <c r="Q40" s="148">
        <f t="shared" si="6"/>
        <v>0</v>
      </c>
      <c r="R40" s="147"/>
      <c r="T40" s="15"/>
      <c r="U40" s="18"/>
      <c r="V40" s="18"/>
      <c r="W40" s="140">
        <f t="shared" si="7"/>
        <v>0</v>
      </c>
      <c r="X40" s="141"/>
      <c r="Y40" s="142">
        <f t="shared" si="8"/>
        <v>0</v>
      </c>
      <c r="Z40" s="143"/>
      <c r="AA40" s="44">
        <f t="shared" si="11"/>
        <v>0</v>
      </c>
      <c r="AB40" s="44">
        <f t="shared" si="13"/>
        <v>0</v>
      </c>
      <c r="AC40" s="144">
        <f t="shared" si="12"/>
        <v>0</v>
      </c>
      <c r="AD40" s="145"/>
    </row>
    <row r="41" spans="2:32" ht="13.5" customHeight="1" x14ac:dyDescent="0.2">
      <c r="B41" s="99"/>
      <c r="C41" s="99"/>
      <c r="D41" s="13"/>
      <c r="E41" s="67">
        <f t="shared" si="3"/>
        <v>0</v>
      </c>
      <c r="F41" s="65"/>
      <c r="G41" s="49">
        <f t="shared" si="0"/>
        <v>0</v>
      </c>
      <c r="H41" s="136">
        <f t="shared" si="9"/>
        <v>0</v>
      </c>
      <c r="I41" s="136"/>
      <c r="J41" s="49">
        <f t="shared" si="10"/>
        <v>0</v>
      </c>
      <c r="K41" s="146">
        <f t="shared" si="4"/>
        <v>0</v>
      </c>
      <c r="L41" s="147"/>
      <c r="M41" s="63"/>
      <c r="N41" s="49">
        <f t="shared" si="1"/>
        <v>0</v>
      </c>
      <c r="O41" s="49">
        <f t="shared" si="2"/>
        <v>0</v>
      </c>
      <c r="P41" s="68">
        <f t="shared" si="5"/>
        <v>0</v>
      </c>
      <c r="Q41" s="148">
        <f t="shared" si="6"/>
        <v>0</v>
      </c>
      <c r="R41" s="147"/>
      <c r="T41" s="15"/>
      <c r="U41" s="18"/>
      <c r="V41" s="18"/>
      <c r="W41" s="140">
        <f t="shared" si="7"/>
        <v>0</v>
      </c>
      <c r="X41" s="141"/>
      <c r="Y41" s="142">
        <f t="shared" si="8"/>
        <v>0</v>
      </c>
      <c r="Z41" s="143"/>
      <c r="AA41" s="44">
        <f t="shared" si="11"/>
        <v>0</v>
      </c>
      <c r="AB41" s="44">
        <f t="shared" si="13"/>
        <v>0</v>
      </c>
      <c r="AC41" s="144">
        <f t="shared" si="12"/>
        <v>0</v>
      </c>
      <c r="AD41" s="145"/>
    </row>
    <row r="42" spans="2:32" ht="13.5" customHeight="1" x14ac:dyDescent="0.2">
      <c r="B42" s="99"/>
      <c r="C42" s="99"/>
      <c r="D42" s="13"/>
      <c r="E42" s="67">
        <f t="shared" si="3"/>
        <v>0</v>
      </c>
      <c r="F42" s="65"/>
      <c r="G42" s="49">
        <f t="shared" si="0"/>
        <v>0</v>
      </c>
      <c r="H42" s="136">
        <f t="shared" si="9"/>
        <v>0</v>
      </c>
      <c r="I42" s="136"/>
      <c r="J42" s="49">
        <f t="shared" si="10"/>
        <v>0</v>
      </c>
      <c r="K42" s="146">
        <f t="shared" si="4"/>
        <v>0</v>
      </c>
      <c r="L42" s="147"/>
      <c r="M42" s="63"/>
      <c r="N42" s="49">
        <f t="shared" si="1"/>
        <v>0</v>
      </c>
      <c r="O42" s="49">
        <f t="shared" si="2"/>
        <v>0</v>
      </c>
      <c r="P42" s="68">
        <f t="shared" si="5"/>
        <v>0</v>
      </c>
      <c r="Q42" s="148">
        <f t="shared" si="6"/>
        <v>0</v>
      </c>
      <c r="R42" s="147"/>
      <c r="T42" s="15"/>
      <c r="U42" s="18"/>
      <c r="V42" s="18"/>
      <c r="W42" s="140">
        <f t="shared" si="7"/>
        <v>0</v>
      </c>
      <c r="X42" s="141"/>
      <c r="Y42" s="142">
        <f t="shared" si="8"/>
        <v>0</v>
      </c>
      <c r="Z42" s="143"/>
      <c r="AA42" s="44">
        <f t="shared" si="11"/>
        <v>0</v>
      </c>
      <c r="AB42" s="44">
        <f t="shared" si="13"/>
        <v>0</v>
      </c>
      <c r="AC42" s="144">
        <f t="shared" si="12"/>
        <v>0</v>
      </c>
      <c r="AD42" s="145"/>
    </row>
    <row r="43" spans="2:32" ht="13.5" customHeight="1" x14ac:dyDescent="0.2">
      <c r="B43" s="99"/>
      <c r="C43" s="99"/>
      <c r="D43" s="13"/>
      <c r="E43" s="67">
        <f t="shared" si="3"/>
        <v>0</v>
      </c>
      <c r="F43" s="65"/>
      <c r="G43" s="49">
        <f t="shared" si="0"/>
        <v>0</v>
      </c>
      <c r="H43" s="136">
        <f t="shared" si="9"/>
        <v>0</v>
      </c>
      <c r="I43" s="136"/>
      <c r="J43" s="49">
        <f t="shared" si="10"/>
        <v>0</v>
      </c>
      <c r="K43" s="146">
        <f t="shared" si="4"/>
        <v>0</v>
      </c>
      <c r="L43" s="147"/>
      <c r="M43" s="63"/>
      <c r="N43" s="49">
        <f t="shared" si="1"/>
        <v>0</v>
      </c>
      <c r="O43" s="49">
        <f t="shared" si="2"/>
        <v>0</v>
      </c>
      <c r="P43" s="68">
        <f t="shared" si="5"/>
        <v>0</v>
      </c>
      <c r="Q43" s="148">
        <f t="shared" si="6"/>
        <v>0</v>
      </c>
      <c r="R43" s="147"/>
      <c r="S43" s="63"/>
      <c r="T43" s="65"/>
      <c r="U43" s="18"/>
      <c r="V43" s="18"/>
      <c r="W43" s="140">
        <f t="shared" si="7"/>
        <v>0</v>
      </c>
      <c r="X43" s="141"/>
      <c r="Y43" s="140">
        <f t="shared" si="8"/>
        <v>0</v>
      </c>
      <c r="Z43" s="141"/>
      <c r="AA43" s="44">
        <f t="shared" si="11"/>
        <v>0</v>
      </c>
      <c r="AB43" s="44">
        <f t="shared" si="13"/>
        <v>0</v>
      </c>
      <c r="AC43" s="144">
        <f t="shared" si="12"/>
        <v>0</v>
      </c>
      <c r="AD43" s="149"/>
      <c r="AE43" s="63"/>
      <c r="AF43" s="63"/>
    </row>
    <row r="44" spans="2:32" ht="13.5" customHeight="1" x14ac:dyDescent="0.2">
      <c r="B44" s="99"/>
      <c r="C44" s="99"/>
      <c r="D44" s="13"/>
      <c r="E44" s="67">
        <f t="shared" si="3"/>
        <v>0</v>
      </c>
      <c r="F44" s="65"/>
      <c r="G44" s="49">
        <f t="shared" si="0"/>
        <v>0</v>
      </c>
      <c r="H44" s="136">
        <f t="shared" si="9"/>
        <v>0</v>
      </c>
      <c r="I44" s="136"/>
      <c r="J44" s="49">
        <f t="shared" si="10"/>
        <v>0</v>
      </c>
      <c r="K44" s="146">
        <f t="shared" si="4"/>
        <v>0</v>
      </c>
      <c r="L44" s="147"/>
      <c r="M44" s="63"/>
      <c r="N44" s="49">
        <f t="shared" si="1"/>
        <v>0</v>
      </c>
      <c r="O44" s="49">
        <f t="shared" si="2"/>
        <v>0</v>
      </c>
      <c r="P44" s="68">
        <f t="shared" si="5"/>
        <v>0</v>
      </c>
      <c r="Q44" s="148">
        <f t="shared" si="6"/>
        <v>0</v>
      </c>
      <c r="R44" s="147"/>
      <c r="S44" s="63"/>
      <c r="T44" s="65"/>
      <c r="U44" s="18"/>
      <c r="V44" s="18"/>
      <c r="W44" s="140">
        <f t="shared" si="7"/>
        <v>0</v>
      </c>
      <c r="X44" s="141"/>
      <c r="Y44" s="140">
        <f t="shared" si="8"/>
        <v>0</v>
      </c>
      <c r="Z44" s="141"/>
      <c r="AA44" s="44">
        <f t="shared" si="11"/>
        <v>0</v>
      </c>
      <c r="AB44" s="44">
        <f t="shared" si="13"/>
        <v>0</v>
      </c>
      <c r="AC44" s="144">
        <f t="shared" si="12"/>
        <v>0</v>
      </c>
      <c r="AD44" s="149"/>
      <c r="AE44" s="63"/>
      <c r="AF44" s="63"/>
    </row>
    <row r="45" spans="2:32" ht="13.5" customHeight="1" x14ac:dyDescent="0.2">
      <c r="B45" s="99"/>
      <c r="C45" s="99"/>
      <c r="D45" s="13"/>
      <c r="E45" s="67">
        <f t="shared" si="3"/>
        <v>0</v>
      </c>
      <c r="F45" s="65"/>
      <c r="G45" s="49">
        <f t="shared" si="0"/>
        <v>0</v>
      </c>
      <c r="H45" s="136">
        <f t="shared" si="9"/>
        <v>0</v>
      </c>
      <c r="I45" s="136"/>
      <c r="J45" s="49">
        <f t="shared" si="10"/>
        <v>0</v>
      </c>
      <c r="K45" s="146">
        <f t="shared" si="4"/>
        <v>0</v>
      </c>
      <c r="L45" s="147"/>
      <c r="M45" s="63"/>
      <c r="N45" s="49">
        <f t="shared" si="1"/>
        <v>0</v>
      </c>
      <c r="O45" s="49">
        <f t="shared" si="2"/>
        <v>0</v>
      </c>
      <c r="P45" s="68">
        <f t="shared" si="5"/>
        <v>0</v>
      </c>
      <c r="Q45" s="148">
        <f t="shared" si="6"/>
        <v>0</v>
      </c>
      <c r="R45" s="147"/>
      <c r="S45" s="63"/>
      <c r="T45" s="65"/>
      <c r="U45" s="18"/>
      <c r="V45" s="18"/>
      <c r="W45" s="140">
        <f t="shared" si="7"/>
        <v>0</v>
      </c>
      <c r="X45" s="141"/>
      <c r="Y45" s="140">
        <f t="shared" si="8"/>
        <v>0</v>
      </c>
      <c r="Z45" s="141"/>
      <c r="AA45" s="44">
        <f t="shared" si="11"/>
        <v>0</v>
      </c>
      <c r="AB45" s="44">
        <f t="shared" si="13"/>
        <v>0</v>
      </c>
      <c r="AC45" s="144">
        <f t="shared" si="12"/>
        <v>0</v>
      </c>
      <c r="AD45" s="149"/>
      <c r="AE45" s="63"/>
      <c r="AF45" s="63"/>
    </row>
    <row r="46" spans="2:32" ht="13.5" customHeight="1" x14ac:dyDescent="0.2">
      <c r="B46" s="99"/>
      <c r="C46" s="99"/>
      <c r="D46" s="13"/>
      <c r="E46" s="67">
        <f t="shared" si="3"/>
        <v>0</v>
      </c>
      <c r="F46" s="65"/>
      <c r="G46" s="49">
        <f t="shared" si="0"/>
        <v>0</v>
      </c>
      <c r="H46" s="136">
        <f t="shared" si="9"/>
        <v>0</v>
      </c>
      <c r="I46" s="136"/>
      <c r="J46" s="49">
        <f t="shared" si="10"/>
        <v>0</v>
      </c>
      <c r="K46" s="146">
        <f t="shared" si="4"/>
        <v>0</v>
      </c>
      <c r="L46" s="147"/>
      <c r="M46" s="63"/>
      <c r="N46" s="49">
        <f t="shared" si="1"/>
        <v>0</v>
      </c>
      <c r="O46" s="49">
        <f t="shared" si="2"/>
        <v>0</v>
      </c>
      <c r="P46" s="68">
        <f t="shared" si="5"/>
        <v>0</v>
      </c>
      <c r="Q46" s="148">
        <f t="shared" si="6"/>
        <v>0</v>
      </c>
      <c r="R46" s="147"/>
      <c r="S46" s="63"/>
      <c r="T46" s="65"/>
      <c r="U46" s="18"/>
      <c r="V46" s="18"/>
      <c r="W46" s="140">
        <f t="shared" si="7"/>
        <v>0</v>
      </c>
      <c r="X46" s="141"/>
      <c r="Y46" s="140">
        <f t="shared" si="8"/>
        <v>0</v>
      </c>
      <c r="Z46" s="141"/>
      <c r="AA46" s="44">
        <f t="shared" si="11"/>
        <v>0</v>
      </c>
      <c r="AB46" s="44">
        <f t="shared" si="13"/>
        <v>0</v>
      </c>
      <c r="AC46" s="144">
        <f t="shared" si="12"/>
        <v>0</v>
      </c>
      <c r="AD46" s="149"/>
      <c r="AE46" s="63"/>
      <c r="AF46" s="63"/>
    </row>
    <row r="47" spans="2:32" ht="13.5" customHeight="1" x14ac:dyDescent="0.2">
      <c r="B47" s="99"/>
      <c r="C47" s="99"/>
      <c r="D47" s="13"/>
      <c r="E47" s="67">
        <f t="shared" si="3"/>
        <v>0</v>
      </c>
      <c r="F47" s="65"/>
      <c r="G47" s="49">
        <f t="shared" si="0"/>
        <v>0</v>
      </c>
      <c r="H47" s="136">
        <f t="shared" si="9"/>
        <v>0</v>
      </c>
      <c r="I47" s="136"/>
      <c r="J47" s="49">
        <f t="shared" si="10"/>
        <v>0</v>
      </c>
      <c r="K47" s="146">
        <f t="shared" si="4"/>
        <v>0</v>
      </c>
      <c r="L47" s="147"/>
      <c r="M47" s="63"/>
      <c r="N47" s="49">
        <f t="shared" si="1"/>
        <v>0</v>
      </c>
      <c r="O47" s="49">
        <f t="shared" si="2"/>
        <v>0</v>
      </c>
      <c r="P47" s="68">
        <f t="shared" si="5"/>
        <v>0</v>
      </c>
      <c r="Q47" s="148">
        <f t="shared" si="6"/>
        <v>0</v>
      </c>
      <c r="R47" s="147"/>
      <c r="S47" s="63"/>
      <c r="T47" s="65"/>
      <c r="U47" s="18"/>
      <c r="V47" s="18"/>
      <c r="W47" s="140">
        <f t="shared" si="7"/>
        <v>0</v>
      </c>
      <c r="X47" s="141"/>
      <c r="Y47" s="140">
        <f t="shared" si="8"/>
        <v>0</v>
      </c>
      <c r="Z47" s="141"/>
      <c r="AA47" s="44">
        <f t="shared" si="11"/>
        <v>0</v>
      </c>
      <c r="AB47" s="44">
        <f t="shared" si="13"/>
        <v>0</v>
      </c>
      <c r="AC47" s="144">
        <f t="shared" si="12"/>
        <v>0</v>
      </c>
      <c r="AD47" s="149"/>
      <c r="AE47" s="63"/>
      <c r="AF47" s="63"/>
    </row>
    <row r="48" spans="2:32" ht="13.5" customHeight="1" x14ac:dyDescent="0.2">
      <c r="B48" s="99"/>
      <c r="C48" s="99"/>
      <c r="D48" s="13"/>
      <c r="E48" s="67">
        <f t="shared" si="3"/>
        <v>0</v>
      </c>
      <c r="F48" s="65"/>
      <c r="G48" s="49">
        <f t="shared" si="0"/>
        <v>0</v>
      </c>
      <c r="H48" s="136">
        <f t="shared" si="9"/>
        <v>0</v>
      </c>
      <c r="I48" s="136"/>
      <c r="J48" s="49">
        <f t="shared" si="10"/>
        <v>0</v>
      </c>
      <c r="K48" s="146">
        <f t="shared" si="4"/>
        <v>0</v>
      </c>
      <c r="L48" s="147"/>
      <c r="M48" s="63"/>
      <c r="N48" s="49">
        <f t="shared" si="1"/>
        <v>0</v>
      </c>
      <c r="O48" s="49">
        <f t="shared" si="2"/>
        <v>0</v>
      </c>
      <c r="P48" s="68">
        <f t="shared" si="5"/>
        <v>0</v>
      </c>
      <c r="Q48" s="148">
        <f t="shared" si="6"/>
        <v>0</v>
      </c>
      <c r="R48" s="147"/>
      <c r="S48" s="63"/>
      <c r="T48" s="65"/>
      <c r="U48" s="18"/>
      <c r="V48" s="18"/>
      <c r="W48" s="140">
        <f t="shared" si="7"/>
        <v>0</v>
      </c>
      <c r="X48" s="141"/>
      <c r="Y48" s="140">
        <f t="shared" si="8"/>
        <v>0</v>
      </c>
      <c r="Z48" s="141"/>
      <c r="AA48" s="44">
        <f t="shared" si="11"/>
        <v>0</v>
      </c>
      <c r="AB48" s="44">
        <f t="shared" si="13"/>
        <v>0</v>
      </c>
      <c r="AC48" s="144">
        <f t="shared" si="12"/>
        <v>0</v>
      </c>
      <c r="AD48" s="149"/>
      <c r="AE48" s="63"/>
      <c r="AF48" s="63"/>
    </row>
    <row r="49" spans="2:32" ht="5.25" customHeight="1" thickBot="1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65"/>
      <c r="T49" s="65"/>
      <c r="U49" s="18"/>
      <c r="V49" s="65"/>
      <c r="W49" s="65"/>
      <c r="X49" s="3"/>
      <c r="Y49" s="63"/>
      <c r="Z49" s="63"/>
      <c r="AA49" s="80"/>
      <c r="AB49" s="80"/>
      <c r="AC49" s="80"/>
      <c r="AD49" s="80"/>
      <c r="AE49" s="63"/>
      <c r="AF49" s="63"/>
    </row>
    <row r="50" spans="2:32" ht="11.25" customHeight="1" thickBot="1" x14ac:dyDescent="0.25">
      <c r="B50" s="175" t="s">
        <v>17</v>
      </c>
      <c r="C50" s="176"/>
      <c r="D50" s="176"/>
      <c r="E50" s="176"/>
      <c r="F50" s="179">
        <f>SUM(K20:K48)</f>
        <v>0</v>
      </c>
      <c r="G50" s="179"/>
      <c r="H50" s="179"/>
      <c r="I50" s="180"/>
      <c r="L50" s="183" t="s">
        <v>32</v>
      </c>
      <c r="M50" s="184"/>
      <c r="N50" s="184"/>
      <c r="O50" s="184"/>
      <c r="P50" s="150">
        <f>SUM(Q20:Q48)</f>
        <v>0</v>
      </c>
      <c r="Q50" s="150"/>
      <c r="R50" s="151"/>
      <c r="S50" s="63"/>
      <c r="T50" s="65"/>
      <c r="U50" s="19"/>
      <c r="V50" s="19"/>
      <c r="W50" s="19"/>
      <c r="X50" s="3"/>
      <c r="Y50" s="63"/>
      <c r="Z50" s="63"/>
      <c r="AA50" s="80"/>
      <c r="AB50" s="80"/>
      <c r="AC50" s="80"/>
      <c r="AD50" s="80"/>
      <c r="AE50" s="63"/>
      <c r="AF50" s="63"/>
    </row>
    <row r="51" spans="2:32" ht="16.5" customHeight="1" thickTop="1" thickBot="1" x14ac:dyDescent="0.25">
      <c r="B51" s="177"/>
      <c r="C51" s="178"/>
      <c r="D51" s="178"/>
      <c r="E51" s="178"/>
      <c r="F51" s="181"/>
      <c r="G51" s="181"/>
      <c r="H51" s="181"/>
      <c r="I51" s="182"/>
      <c r="L51" s="185"/>
      <c r="M51" s="186"/>
      <c r="N51" s="186"/>
      <c r="O51" s="186"/>
      <c r="P51" s="152"/>
      <c r="Q51" s="152"/>
      <c r="R51" s="153"/>
      <c r="S51" s="63"/>
      <c r="T51" s="65"/>
      <c r="U51" s="19"/>
      <c r="V51" s="19"/>
      <c r="W51" s="19"/>
      <c r="X51" s="3"/>
      <c r="Y51" s="63"/>
      <c r="Z51" s="63"/>
      <c r="AA51" s="154" t="s">
        <v>21</v>
      </c>
      <c r="AB51" s="155"/>
      <c r="AC51" s="156">
        <f>SUM(AC20:AC48)</f>
        <v>0</v>
      </c>
      <c r="AD51" s="156"/>
      <c r="AE51" s="63"/>
      <c r="AF51" s="63"/>
    </row>
    <row r="52" spans="2:32" ht="17.25" customHeight="1" thickBot="1" x14ac:dyDescent="0.25"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3"/>
      <c r="T52" s="3"/>
      <c r="U52" s="3"/>
      <c r="V52" s="3"/>
      <c r="W52" s="3"/>
      <c r="X52" s="3"/>
      <c r="Y52" s="63"/>
      <c r="Z52" s="63"/>
      <c r="AA52" s="63"/>
      <c r="AB52" s="63"/>
      <c r="AC52" s="63"/>
      <c r="AD52" s="63"/>
      <c r="AE52" s="63"/>
      <c r="AF52" s="63"/>
    </row>
    <row r="53" spans="2:32" ht="18" customHeight="1" thickBot="1" x14ac:dyDescent="0.3">
      <c r="B53" s="157" t="s">
        <v>18</v>
      </c>
      <c r="C53" s="158"/>
      <c r="D53" s="158"/>
      <c r="E53" s="158"/>
      <c r="F53" s="158"/>
      <c r="G53" s="158"/>
      <c r="H53" s="158"/>
      <c r="I53" s="158"/>
      <c r="J53" s="158"/>
      <c r="K53" s="159"/>
      <c r="M53" s="160">
        <f>SUM(F50,P50)</f>
        <v>0</v>
      </c>
      <c r="N53" s="161"/>
      <c r="O53" s="162"/>
      <c r="Q53" s="2"/>
      <c r="S53" s="63"/>
      <c r="T53" s="63"/>
      <c r="U53" s="85"/>
      <c r="V53" s="86"/>
      <c r="W53" s="86"/>
      <c r="X53" s="3"/>
      <c r="Y53" s="63"/>
      <c r="Z53" s="63"/>
      <c r="AA53" s="63"/>
      <c r="AB53" s="63"/>
      <c r="AC53" s="63"/>
      <c r="AD53" s="63"/>
      <c r="AE53" s="63"/>
      <c r="AF53" s="63"/>
    </row>
    <row r="54" spans="2:32" ht="10.5" customHeight="1" thickBot="1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3"/>
      <c r="T54" s="3"/>
      <c r="U54" s="86"/>
      <c r="V54" s="86"/>
      <c r="W54" s="86"/>
      <c r="X54" s="3"/>
      <c r="Y54" s="63"/>
      <c r="Z54" s="63"/>
      <c r="AA54" s="63"/>
      <c r="AB54" s="63"/>
      <c r="AC54" s="63"/>
      <c r="AD54" s="63"/>
      <c r="AE54" s="63"/>
      <c r="AF54" s="63"/>
    </row>
    <row r="55" spans="2:32" ht="8.25" customHeight="1" x14ac:dyDescent="0.2">
      <c r="B55" s="163" t="s">
        <v>19</v>
      </c>
      <c r="C55" s="164"/>
      <c r="D55" s="164"/>
      <c r="E55" s="164"/>
      <c r="F55" s="164"/>
      <c r="G55" s="164"/>
      <c r="H55" s="164"/>
      <c r="I55" s="164"/>
      <c r="J55" s="164"/>
      <c r="K55" s="165"/>
      <c r="M55" s="169">
        <f>$AC$51/43560</f>
        <v>0</v>
      </c>
      <c r="N55" s="170"/>
      <c r="O55" s="171"/>
      <c r="Q55" s="2"/>
      <c r="S55" s="63"/>
      <c r="T55" s="3"/>
      <c r="U55" s="86"/>
      <c r="V55" s="86"/>
      <c r="W55" s="86"/>
      <c r="X55" s="3"/>
      <c r="Y55" s="63"/>
      <c r="Z55" s="63"/>
      <c r="AA55" s="63"/>
      <c r="AB55" s="63"/>
      <c r="AC55" s="63"/>
      <c r="AD55" s="63"/>
      <c r="AE55" s="63"/>
      <c r="AF55" s="63"/>
    </row>
    <row r="56" spans="2:32" ht="9" customHeight="1" thickBot="1" x14ac:dyDescent="0.25">
      <c r="B56" s="166"/>
      <c r="C56" s="167"/>
      <c r="D56" s="167"/>
      <c r="E56" s="167"/>
      <c r="F56" s="167"/>
      <c r="G56" s="167"/>
      <c r="H56" s="167"/>
      <c r="I56" s="167"/>
      <c r="J56" s="167"/>
      <c r="K56" s="168"/>
      <c r="M56" s="172"/>
      <c r="N56" s="173"/>
      <c r="O56" s="174"/>
      <c r="Q56" s="2"/>
      <c r="S56" s="63"/>
      <c r="T56" s="3"/>
      <c r="U56" s="86"/>
      <c r="V56" s="86"/>
      <c r="W56" s="86"/>
      <c r="X56" s="3"/>
      <c r="Y56" s="63"/>
      <c r="Z56" s="63"/>
      <c r="AA56" s="63"/>
      <c r="AB56" s="63"/>
      <c r="AC56" s="63"/>
      <c r="AD56" s="63"/>
      <c r="AE56" s="63"/>
      <c r="AF56" s="63"/>
    </row>
    <row r="57" spans="2:32" ht="10.5" customHeight="1" x14ac:dyDescent="0.2">
      <c r="B57" s="23"/>
      <c r="C57" s="23"/>
      <c r="D57" s="23"/>
      <c r="E57" s="23"/>
      <c r="F57" s="2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3"/>
      <c r="T57" s="3"/>
      <c r="U57" s="3"/>
      <c r="V57" s="3"/>
      <c r="W57" s="3"/>
      <c r="X57" s="3"/>
      <c r="Y57" s="63"/>
      <c r="Z57" s="63"/>
      <c r="AA57" s="63"/>
      <c r="AB57" s="63"/>
      <c r="AC57" s="63"/>
      <c r="AD57" s="63"/>
      <c r="AE57" s="63"/>
      <c r="AF57" s="63"/>
    </row>
    <row r="58" spans="2:32" x14ac:dyDescent="0.2"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</row>
    <row r="59" spans="2:32" x14ac:dyDescent="0.2"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</row>
    <row r="60" spans="2:32" x14ac:dyDescent="0.2"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</row>
  </sheetData>
  <sheetProtection sheet="1" objects="1" scenarios="1" selectLockedCells="1"/>
  <mergeCells count="219">
    <mergeCell ref="B53:K53"/>
    <mergeCell ref="M53:O53"/>
    <mergeCell ref="B55:K56"/>
    <mergeCell ref="M55:O56"/>
    <mergeCell ref="B50:E51"/>
    <mergeCell ref="F50:I51"/>
    <mergeCell ref="L50:O51"/>
    <mergeCell ref="H47:I47"/>
    <mergeCell ref="K47:L47"/>
    <mergeCell ref="Q47:R47"/>
    <mergeCell ref="W47:X47"/>
    <mergeCell ref="Y47:Z47"/>
    <mergeCell ref="AC47:AD47"/>
    <mergeCell ref="P50:R51"/>
    <mergeCell ref="AA51:AB51"/>
    <mergeCell ref="AC51:AD51"/>
    <mergeCell ref="H48:I48"/>
    <mergeCell ref="K48:L48"/>
    <mergeCell ref="Q48:R48"/>
    <mergeCell ref="W48:X48"/>
    <mergeCell ref="Y48:Z48"/>
    <mergeCell ref="AC48:AD48"/>
    <mergeCell ref="H45:I45"/>
    <mergeCell ref="K45:L45"/>
    <mergeCell ref="Q45:R45"/>
    <mergeCell ref="W45:X45"/>
    <mergeCell ref="Y45:Z45"/>
    <mergeCell ref="AC45:AD45"/>
    <mergeCell ref="H46:I46"/>
    <mergeCell ref="K46:L46"/>
    <mergeCell ref="Q46:R46"/>
    <mergeCell ref="W46:X46"/>
    <mergeCell ref="Y46:Z46"/>
    <mergeCell ref="AC46:AD46"/>
    <mergeCell ref="H43:I43"/>
    <mergeCell ref="K43:L43"/>
    <mergeCell ref="Q43:R43"/>
    <mergeCell ref="W43:X43"/>
    <mergeCell ref="Y43:Z43"/>
    <mergeCell ref="AC43:AD43"/>
    <mergeCell ref="H44:I44"/>
    <mergeCell ref="K44:L44"/>
    <mergeCell ref="Q44:R44"/>
    <mergeCell ref="W44:X44"/>
    <mergeCell ref="Y44:Z44"/>
    <mergeCell ref="AC44:AD44"/>
    <mergeCell ref="H41:I41"/>
    <mergeCell ref="K41:L41"/>
    <mergeCell ref="Q41:R41"/>
    <mergeCell ref="W41:X41"/>
    <mergeCell ref="Y41:Z41"/>
    <mergeCell ref="AC41:AD41"/>
    <mergeCell ref="H42:I42"/>
    <mergeCell ref="K42:L42"/>
    <mergeCell ref="Q42:R42"/>
    <mergeCell ref="W42:X42"/>
    <mergeCell ref="Y42:Z42"/>
    <mergeCell ref="AC42:AD42"/>
    <mergeCell ref="H39:I39"/>
    <mergeCell ref="K39:L39"/>
    <mergeCell ref="Q39:R39"/>
    <mergeCell ref="W39:X39"/>
    <mergeCell ref="Y39:Z39"/>
    <mergeCell ref="AC39:AD39"/>
    <mergeCell ref="H40:I40"/>
    <mergeCell ref="K40:L40"/>
    <mergeCell ref="Q40:R40"/>
    <mergeCell ref="W40:X40"/>
    <mergeCell ref="Y40:Z40"/>
    <mergeCell ref="AC40:AD40"/>
    <mergeCell ref="H37:I37"/>
    <mergeCell ref="K37:L37"/>
    <mergeCell ref="Q37:R37"/>
    <mergeCell ref="W37:X37"/>
    <mergeCell ref="Y37:Z37"/>
    <mergeCell ref="AC37:AD37"/>
    <mergeCell ref="H38:I38"/>
    <mergeCell ref="K38:L38"/>
    <mergeCell ref="Q38:R38"/>
    <mergeCell ref="W38:X38"/>
    <mergeCell ref="Y38:Z38"/>
    <mergeCell ref="AC38:AD38"/>
    <mergeCell ref="H35:I35"/>
    <mergeCell ref="K35:L35"/>
    <mergeCell ref="Q35:R35"/>
    <mergeCell ref="W35:X35"/>
    <mergeCell ref="Y35:Z35"/>
    <mergeCell ref="AC35:AD35"/>
    <mergeCell ref="H36:I36"/>
    <mergeCell ref="K36:L36"/>
    <mergeCell ref="Q36:R36"/>
    <mergeCell ref="W36:X36"/>
    <mergeCell ref="Y36:Z36"/>
    <mergeCell ref="AC36:AD36"/>
    <mergeCell ref="H33:I33"/>
    <mergeCell ref="K33:L33"/>
    <mergeCell ref="Q33:R33"/>
    <mergeCell ref="W33:X33"/>
    <mergeCell ref="Y33:Z33"/>
    <mergeCell ref="AC33:AD33"/>
    <mergeCell ref="H34:I34"/>
    <mergeCell ref="K34:L34"/>
    <mergeCell ref="Q34:R34"/>
    <mergeCell ref="W34:X34"/>
    <mergeCell ref="Y34:Z34"/>
    <mergeCell ref="AC34:AD34"/>
    <mergeCell ref="H31:I31"/>
    <mergeCell ref="K31:L31"/>
    <mergeCell ref="Q31:R31"/>
    <mergeCell ref="W31:X31"/>
    <mergeCell ref="Y31:Z31"/>
    <mergeCell ref="AC31:AD31"/>
    <mergeCell ref="H32:I32"/>
    <mergeCell ref="K32:L32"/>
    <mergeCell ref="Q32:R32"/>
    <mergeCell ref="W32:X32"/>
    <mergeCell ref="Y32:Z32"/>
    <mergeCell ref="AC32:AD32"/>
    <mergeCell ref="H29:I29"/>
    <mergeCell ref="K29:L29"/>
    <mergeCell ref="Q29:R29"/>
    <mergeCell ref="W29:X29"/>
    <mergeCell ref="Y29:Z29"/>
    <mergeCell ref="AC29:AD29"/>
    <mergeCell ref="H30:I30"/>
    <mergeCell ref="K30:L30"/>
    <mergeCell ref="Q30:R30"/>
    <mergeCell ref="W30:X30"/>
    <mergeCell ref="Y30:Z30"/>
    <mergeCell ref="AC30:AD30"/>
    <mergeCell ref="H27:I27"/>
    <mergeCell ref="K27:L27"/>
    <mergeCell ref="Q27:R27"/>
    <mergeCell ref="W27:X27"/>
    <mergeCell ref="Y27:Z27"/>
    <mergeCell ref="AC27:AD27"/>
    <mergeCell ref="H28:I28"/>
    <mergeCell ref="K28:L28"/>
    <mergeCell ref="Q28:R28"/>
    <mergeCell ref="W28:X28"/>
    <mergeCell ref="Y28:Z28"/>
    <mergeCell ref="AC28:AD28"/>
    <mergeCell ref="H25:I25"/>
    <mergeCell ref="K25:L25"/>
    <mergeCell ref="Q25:R25"/>
    <mergeCell ref="W25:X25"/>
    <mergeCell ref="Y25:Z25"/>
    <mergeCell ref="AC25:AD25"/>
    <mergeCell ref="H26:I26"/>
    <mergeCell ref="K26:L26"/>
    <mergeCell ref="Q26:R26"/>
    <mergeCell ref="W26:X26"/>
    <mergeCell ref="Y26:Z26"/>
    <mergeCell ref="AC26:AD26"/>
    <mergeCell ref="H23:I23"/>
    <mergeCell ref="K23:L23"/>
    <mergeCell ref="Q23:R23"/>
    <mergeCell ref="W23:X23"/>
    <mergeCell ref="Y23:Z23"/>
    <mergeCell ref="AC23:AD23"/>
    <mergeCell ref="H24:I24"/>
    <mergeCell ref="K24:L24"/>
    <mergeCell ref="Q24:R24"/>
    <mergeCell ref="W24:X24"/>
    <mergeCell ref="Y24:Z24"/>
    <mergeCell ref="AC24:AD24"/>
    <mergeCell ref="AC20:AD20"/>
    <mergeCell ref="H21:I21"/>
    <mergeCell ref="K21:L21"/>
    <mergeCell ref="Q21:R21"/>
    <mergeCell ref="W21:X21"/>
    <mergeCell ref="Y21:Z21"/>
    <mergeCell ref="AC21:AD21"/>
    <mergeCell ref="H22:I22"/>
    <mergeCell ref="K22:L22"/>
    <mergeCell ref="Q22:R22"/>
    <mergeCell ref="W22:X22"/>
    <mergeCell ref="Y22:Z22"/>
    <mergeCell ref="AC22:AD22"/>
    <mergeCell ref="H19:I19"/>
    <mergeCell ref="K19:L19"/>
    <mergeCell ref="Q19:R19"/>
    <mergeCell ref="W19:X19"/>
    <mergeCell ref="Y19:Z19"/>
    <mergeCell ref="H20:I20"/>
    <mergeCell ref="K20:L20"/>
    <mergeCell ref="Q20:R20"/>
    <mergeCell ref="W20:X20"/>
    <mergeCell ref="Y20:Z20"/>
    <mergeCell ref="E14:F14"/>
    <mergeCell ref="N14:O14"/>
    <mergeCell ref="B16:E16"/>
    <mergeCell ref="G16:L16"/>
    <mergeCell ref="N16:R16"/>
    <mergeCell ref="AA16:AC16"/>
    <mergeCell ref="H18:I18"/>
    <mergeCell ref="K18:L18"/>
    <mergeCell ref="Q18:R18"/>
    <mergeCell ref="W18:X18"/>
    <mergeCell ref="Y18:Z18"/>
    <mergeCell ref="B8:C8"/>
    <mergeCell ref="D8:H8"/>
    <mergeCell ref="P8:R8"/>
    <mergeCell ref="V8:W8"/>
    <mergeCell ref="B10:C10"/>
    <mergeCell ref="D10:E10"/>
    <mergeCell ref="E12:F12"/>
    <mergeCell ref="N12:O12"/>
    <mergeCell ref="E13:F13"/>
    <mergeCell ref="N13:O13"/>
    <mergeCell ref="B2:O2"/>
    <mergeCell ref="V3:W3"/>
    <mergeCell ref="B4:C4"/>
    <mergeCell ref="D4:L4"/>
    <mergeCell ref="P4:R4"/>
    <mergeCell ref="B6:C6"/>
    <mergeCell ref="D6:H6"/>
    <mergeCell ref="P6:R6"/>
    <mergeCell ref="P7:R7"/>
  </mergeCells>
  <printOptions horizontalCentered="1"/>
  <pageMargins left="0.45" right="0.3" top="0.42" bottom="0.25" header="0" footer="0.2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indexed="47"/>
  </sheetPr>
  <dimension ref="A1:AE58"/>
  <sheetViews>
    <sheetView showGridLines="0" zoomScale="85" workbookViewId="0">
      <selection activeCell="D4" sqref="D4:L4"/>
    </sheetView>
  </sheetViews>
  <sheetFormatPr defaultRowHeight="12.75" x14ac:dyDescent="0.2"/>
  <cols>
    <col min="1" max="1" width="0.7109375" customWidth="1"/>
    <col min="2" max="2" width="8" customWidth="1"/>
    <col min="3" max="3" width="9.7109375" customWidth="1"/>
    <col min="4" max="4" width="1.42578125" customWidth="1"/>
    <col min="5" max="5" width="8.85546875" customWidth="1"/>
    <col min="6" max="6" width="2" customWidth="1"/>
    <col min="7" max="7" width="6.85546875" customWidth="1"/>
    <col min="8" max="8" width="2" customWidth="1"/>
    <col min="9" max="9" width="7.140625" customWidth="1"/>
    <col min="10" max="10" width="8.7109375" customWidth="1"/>
    <col min="11" max="11" width="2.85546875" customWidth="1"/>
    <col min="12" max="12" width="5.28515625" customWidth="1"/>
    <col min="13" max="13" width="2" customWidth="1"/>
    <col min="14" max="14" width="9.28515625" customWidth="1"/>
    <col min="15" max="15" width="8.140625" customWidth="1"/>
    <col min="16" max="16" width="9.7109375" customWidth="1"/>
    <col min="17" max="17" width="2.85546875" customWidth="1"/>
    <col min="18" max="18" width="5.28515625" customWidth="1"/>
    <col min="19" max="19" width="9.28515625" customWidth="1"/>
    <col min="20" max="20" width="4.28515625" customWidth="1"/>
    <col min="21" max="21" width="8.28515625" customWidth="1"/>
    <col min="22" max="22" width="8.5703125" customWidth="1"/>
    <col min="23" max="23" width="9.140625" hidden="1" customWidth="1"/>
    <col min="24" max="24" width="5.85546875" hidden="1" customWidth="1"/>
    <col min="25" max="30" width="9.140625" hidden="1" customWidth="1"/>
  </cols>
  <sheetData>
    <row r="1" spans="1:30" ht="3.75" customHeight="1" thickBot="1" x14ac:dyDescent="0.25"/>
    <row r="2" spans="1:30" ht="24.75" customHeight="1" thickBot="1" x14ac:dyDescent="0.4">
      <c r="A2" s="63"/>
      <c r="B2" s="101" t="s">
        <v>37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41"/>
      <c r="Q2" s="42"/>
      <c r="R2" s="45" t="s">
        <v>40</v>
      </c>
      <c r="S2" s="22"/>
      <c r="T2" s="22"/>
      <c r="U2" s="22"/>
      <c r="V2" s="22"/>
      <c r="W2" s="22"/>
      <c r="X2" s="22"/>
    </row>
    <row r="3" spans="1:30" ht="12" customHeight="1" x14ac:dyDescent="0.2">
      <c r="A3" s="63"/>
      <c r="B3" s="3"/>
      <c r="C3" s="3"/>
      <c r="D3" s="3"/>
      <c r="E3" s="5"/>
      <c r="F3" s="3"/>
      <c r="G3" s="3"/>
      <c r="H3" s="3"/>
      <c r="I3" s="3"/>
      <c r="J3" s="3"/>
      <c r="K3" s="3"/>
      <c r="L3" s="5"/>
      <c r="M3" s="5"/>
      <c r="N3" s="3"/>
      <c r="O3" s="3"/>
      <c r="P3" s="3"/>
      <c r="Q3" s="3"/>
      <c r="R3" s="3"/>
      <c r="S3" s="3"/>
      <c r="T3" s="6"/>
      <c r="U3" s="3"/>
      <c r="V3" s="103"/>
      <c r="W3" s="103"/>
      <c r="X3" s="4"/>
    </row>
    <row r="4" spans="1:30" ht="15.75" customHeight="1" x14ac:dyDescent="0.25">
      <c r="A4" s="63"/>
      <c r="B4" s="104" t="s">
        <v>22</v>
      </c>
      <c r="C4" s="104"/>
      <c r="D4" s="105"/>
      <c r="E4" s="105"/>
      <c r="F4" s="105"/>
      <c r="G4" s="105"/>
      <c r="H4" s="105"/>
      <c r="I4" s="105"/>
      <c r="J4" s="105"/>
      <c r="K4" s="105"/>
      <c r="L4" s="105"/>
      <c r="M4" s="63"/>
      <c r="N4" s="63"/>
      <c r="O4" s="69" t="s">
        <v>28</v>
      </c>
      <c r="P4" s="106">
        <f ca="1">TODAY()</f>
        <v>43069</v>
      </c>
      <c r="Q4" s="106"/>
      <c r="R4" s="106"/>
      <c r="S4" s="7"/>
      <c r="T4" s="7"/>
      <c r="U4" s="8"/>
      <c r="V4" s="3"/>
      <c r="W4" s="3"/>
      <c r="X4" s="4"/>
    </row>
    <row r="5" spans="1:30" ht="10.5" customHeight="1" x14ac:dyDescent="0.2">
      <c r="A5" s="63"/>
      <c r="B5" s="43"/>
      <c r="C5" s="43"/>
      <c r="D5" s="78"/>
      <c r="E5" s="78"/>
      <c r="F5" s="78"/>
      <c r="G5" s="78"/>
      <c r="H5" s="78"/>
      <c r="I5" s="9"/>
      <c r="J5" s="3"/>
      <c r="K5" s="3"/>
      <c r="L5" s="3"/>
      <c r="M5" s="3"/>
      <c r="N5" s="78"/>
      <c r="O5" s="78"/>
      <c r="P5" s="63"/>
      <c r="Q5" s="3"/>
      <c r="R5" s="78"/>
      <c r="S5" s="3"/>
      <c r="T5" s="3"/>
      <c r="U5" s="3"/>
      <c r="V5" s="3"/>
      <c r="W5" s="3"/>
      <c r="X5" s="4"/>
    </row>
    <row r="6" spans="1:30" ht="12.75" customHeight="1" x14ac:dyDescent="0.2">
      <c r="A6" s="63"/>
      <c r="B6" s="107" t="s">
        <v>23</v>
      </c>
      <c r="C6" s="107"/>
      <c r="D6" s="108"/>
      <c r="E6" s="108"/>
      <c r="F6" s="108"/>
      <c r="G6" s="108"/>
      <c r="H6" s="108"/>
      <c r="I6" s="82"/>
      <c r="J6" s="3"/>
      <c r="K6" s="30"/>
      <c r="L6" s="63"/>
      <c r="M6" s="63"/>
      <c r="N6" s="63"/>
      <c r="O6" s="69" t="s">
        <v>29</v>
      </c>
      <c r="P6" s="108"/>
      <c r="Q6" s="108"/>
      <c r="R6" s="108"/>
      <c r="S6" s="10"/>
      <c r="T6" s="3"/>
      <c r="U6" s="3"/>
      <c r="V6" s="3"/>
      <c r="W6" s="3"/>
      <c r="X6" s="4"/>
    </row>
    <row r="7" spans="1:30" ht="12" customHeight="1" x14ac:dyDescent="0.2">
      <c r="A7" s="63"/>
      <c r="B7" s="43"/>
      <c r="C7" s="43"/>
      <c r="D7" s="31"/>
      <c r="E7" s="28"/>
      <c r="F7" s="28"/>
      <c r="G7" s="28"/>
      <c r="H7" s="28"/>
      <c r="I7" s="9"/>
      <c r="J7" s="3"/>
      <c r="K7" s="3"/>
      <c r="L7" s="63"/>
      <c r="M7" s="80"/>
      <c r="N7" s="3"/>
      <c r="O7" s="79" t="s">
        <v>30</v>
      </c>
      <c r="P7" s="109"/>
      <c r="Q7" s="109"/>
      <c r="R7" s="109"/>
      <c r="S7" s="3"/>
      <c r="T7" s="3"/>
      <c r="U7" s="3"/>
      <c r="V7" s="11"/>
      <c r="W7" s="3"/>
      <c r="X7" s="4"/>
    </row>
    <row r="8" spans="1:30" ht="12.75" customHeight="1" x14ac:dyDescent="0.2">
      <c r="A8" s="63"/>
      <c r="B8" s="107" t="s">
        <v>24</v>
      </c>
      <c r="C8" s="107"/>
      <c r="D8" s="108"/>
      <c r="E8" s="108"/>
      <c r="F8" s="108"/>
      <c r="G8" s="108"/>
      <c r="H8" s="108"/>
      <c r="I8" s="82"/>
      <c r="J8" s="3"/>
      <c r="K8" s="30"/>
      <c r="L8" s="63"/>
      <c r="M8" s="80"/>
      <c r="N8" s="3"/>
      <c r="O8" s="79" t="s">
        <v>28</v>
      </c>
      <c r="P8" s="109"/>
      <c r="Q8" s="109"/>
      <c r="R8" s="109"/>
      <c r="S8" s="3"/>
      <c r="T8" s="3"/>
      <c r="U8" s="3"/>
      <c r="V8" s="110"/>
      <c r="W8" s="110"/>
      <c r="X8" s="4"/>
    </row>
    <row r="9" spans="1:30" ht="10.5" customHeight="1" x14ac:dyDescent="0.2">
      <c r="A9" s="63"/>
      <c r="B9" s="77"/>
      <c r="C9" s="3"/>
      <c r="D9" s="29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Q9" s="4"/>
      <c r="R9" s="26"/>
      <c r="S9" s="70"/>
      <c r="T9" s="75"/>
      <c r="U9" s="75"/>
      <c r="V9" s="75"/>
      <c r="W9" s="75"/>
      <c r="X9" s="27"/>
    </row>
    <row r="10" spans="1:30" ht="12.75" customHeight="1" x14ac:dyDescent="0.2">
      <c r="A10" s="63"/>
      <c r="B10" s="107" t="s">
        <v>25</v>
      </c>
      <c r="C10" s="107"/>
      <c r="D10" s="108"/>
      <c r="E10" s="108"/>
      <c r="F10" s="83" t="s">
        <v>26</v>
      </c>
      <c r="G10" s="32"/>
      <c r="H10" s="83" t="s">
        <v>27</v>
      </c>
      <c r="I10" s="32"/>
      <c r="J10" s="81"/>
      <c r="K10" s="3"/>
      <c r="L10" s="3"/>
      <c r="M10" s="3"/>
      <c r="N10" s="3"/>
      <c r="O10" s="3"/>
      <c r="P10" s="63"/>
      <c r="Q10" s="71"/>
      <c r="R10" s="3"/>
      <c r="S10" s="3"/>
      <c r="T10" s="3"/>
      <c r="U10" s="3"/>
      <c r="V10" s="3"/>
      <c r="W10" s="3"/>
      <c r="X10" s="4"/>
    </row>
    <row r="11" spans="1:30" ht="10.5" customHeight="1" x14ac:dyDescent="0.2">
      <c r="A11" s="63"/>
      <c r="B11" s="76"/>
      <c r="C11" s="3"/>
      <c r="D11" s="75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4"/>
    </row>
    <row r="12" spans="1:30" ht="16.5" customHeight="1" x14ac:dyDescent="0.2">
      <c r="A12" s="63"/>
      <c r="B12" s="36" t="s">
        <v>31</v>
      </c>
      <c r="C12" s="33"/>
      <c r="D12" s="75"/>
      <c r="E12" s="111"/>
      <c r="F12" s="111"/>
      <c r="H12" s="36"/>
      <c r="I12" s="36" t="s">
        <v>0</v>
      </c>
      <c r="J12" s="34"/>
      <c r="K12" s="2"/>
      <c r="N12" s="112"/>
      <c r="O12" s="112"/>
      <c r="P12" s="72"/>
      <c r="Q12" s="63"/>
      <c r="R12" s="63"/>
      <c r="S12" s="84"/>
      <c r="T12" s="3"/>
      <c r="U12" s="25"/>
      <c r="V12" s="25"/>
      <c r="W12" s="25"/>
      <c r="X12" s="4"/>
    </row>
    <row r="13" spans="1:30" ht="16.5" customHeight="1" x14ac:dyDescent="0.2">
      <c r="A13" s="63"/>
      <c r="B13" s="36" t="s">
        <v>38</v>
      </c>
      <c r="C13" s="33"/>
      <c r="D13" s="75"/>
      <c r="E13" s="111"/>
      <c r="F13" s="111"/>
      <c r="H13" s="36"/>
      <c r="I13" s="36" t="s">
        <v>33</v>
      </c>
      <c r="J13" s="34"/>
      <c r="K13" s="2"/>
      <c r="N13" s="113"/>
      <c r="O13" s="113"/>
      <c r="P13" s="73"/>
      <c r="Q13" s="63"/>
      <c r="R13" s="4"/>
      <c r="S13" s="3"/>
      <c r="T13" s="3"/>
      <c r="U13" s="25"/>
      <c r="V13" s="25"/>
      <c r="W13" s="25"/>
      <c r="X13" s="4"/>
    </row>
    <row r="14" spans="1:30" ht="16.5" customHeight="1" x14ac:dyDescent="0.2">
      <c r="A14" s="63"/>
      <c r="B14" s="36" t="s">
        <v>39</v>
      </c>
      <c r="C14" s="33"/>
      <c r="D14" s="75"/>
      <c r="E14" s="111"/>
      <c r="F14" s="111"/>
      <c r="H14" s="36"/>
      <c r="I14" s="36" t="s">
        <v>1</v>
      </c>
      <c r="J14" s="4"/>
      <c r="K14" s="4"/>
      <c r="N14" s="114"/>
      <c r="O14" s="114"/>
      <c r="P14" s="74"/>
      <c r="Q14" s="63"/>
      <c r="R14" s="4"/>
      <c r="S14" s="3"/>
      <c r="T14" s="3"/>
      <c r="U14" s="3"/>
      <c r="V14" s="3"/>
      <c r="W14" s="3"/>
      <c r="X14" s="4"/>
    </row>
    <row r="15" spans="1:30" ht="10.5" customHeight="1" thickBot="1" x14ac:dyDescent="0.25">
      <c r="A15" s="6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4"/>
    </row>
    <row r="16" spans="1:30" ht="13.5" thickBot="1" x14ac:dyDescent="0.25">
      <c r="A16" s="63"/>
      <c r="B16" s="115" t="s">
        <v>2</v>
      </c>
      <c r="C16" s="116"/>
      <c r="D16" s="116"/>
      <c r="E16" s="117"/>
      <c r="F16" s="24"/>
      <c r="G16" s="118" t="s">
        <v>3</v>
      </c>
      <c r="H16" s="119"/>
      <c r="I16" s="119"/>
      <c r="J16" s="119"/>
      <c r="K16" s="119"/>
      <c r="L16" s="120"/>
      <c r="M16" s="39"/>
      <c r="N16" s="121" t="s">
        <v>4</v>
      </c>
      <c r="O16" s="122"/>
      <c r="P16" s="122"/>
      <c r="Q16" s="122"/>
      <c r="R16" s="123"/>
      <c r="S16" s="38"/>
      <c r="T16" s="3"/>
      <c r="U16" s="20"/>
      <c r="V16" s="21"/>
      <c r="W16" s="21"/>
      <c r="X16" s="4"/>
      <c r="AA16" s="124" t="s">
        <v>20</v>
      </c>
      <c r="AB16" s="125"/>
      <c r="AC16" s="125"/>
      <c r="AD16" s="1"/>
    </row>
    <row r="17" spans="1:30" ht="9" customHeight="1" thickBot="1" x14ac:dyDescent="0.25">
      <c r="A17" s="6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4"/>
      <c r="AA17" s="1"/>
      <c r="AB17" s="1"/>
      <c r="AC17" s="1"/>
      <c r="AD17" s="1"/>
    </row>
    <row r="18" spans="1:30" ht="33" customHeight="1" thickBot="1" x14ac:dyDescent="0.25">
      <c r="A18" s="63"/>
      <c r="B18" s="56" t="s">
        <v>5</v>
      </c>
      <c r="C18" s="56" t="s">
        <v>6</v>
      </c>
      <c r="D18" s="60"/>
      <c r="E18" s="56" t="s">
        <v>7</v>
      </c>
      <c r="F18" s="12"/>
      <c r="G18" s="56" t="s">
        <v>8</v>
      </c>
      <c r="H18" s="126" t="s">
        <v>9</v>
      </c>
      <c r="I18" s="127"/>
      <c r="J18" s="56" t="s">
        <v>10</v>
      </c>
      <c r="K18" s="126" t="s">
        <v>12</v>
      </c>
      <c r="L18" s="127"/>
      <c r="M18" s="61"/>
      <c r="N18" s="56" t="s">
        <v>13</v>
      </c>
      <c r="O18" s="56" t="s">
        <v>14</v>
      </c>
      <c r="P18" s="56" t="s">
        <v>15</v>
      </c>
      <c r="Q18" s="126" t="s">
        <v>12</v>
      </c>
      <c r="R18" s="127"/>
      <c r="S18" s="80"/>
      <c r="T18" s="3"/>
      <c r="U18" s="17"/>
      <c r="V18" s="17"/>
      <c r="W18" s="128" t="s">
        <v>11</v>
      </c>
      <c r="X18" s="128"/>
      <c r="Y18" s="129" t="s">
        <v>16</v>
      </c>
      <c r="Z18" s="129"/>
      <c r="AA18" s="37" t="s">
        <v>10</v>
      </c>
      <c r="AB18" s="37" t="s">
        <v>10</v>
      </c>
      <c r="AC18" s="37" t="s">
        <v>10</v>
      </c>
    </row>
    <row r="19" spans="1:30" ht="13.5" customHeight="1" thickBot="1" x14ac:dyDescent="0.25">
      <c r="B19" s="55"/>
      <c r="C19" s="87"/>
      <c r="D19" s="13"/>
      <c r="E19" s="14"/>
      <c r="F19" s="14"/>
      <c r="G19" s="57">
        <f t="shared" ref="G19:G48" si="0">IF(C19&gt;$N$12,0,(IF(B19=0,,((($N$12-C19)*$N$13/100)+($N$12-C19)))))</f>
        <v>0</v>
      </c>
      <c r="H19" s="130">
        <f t="shared" ref="H19:H48" si="1">(G19*$E$12)+(G19*$E$13/2+G19*$E$14/2)</f>
        <v>0</v>
      </c>
      <c r="I19" s="131"/>
      <c r="J19" s="50"/>
      <c r="K19" s="132"/>
      <c r="L19" s="132"/>
      <c r="N19" s="57">
        <f t="shared" ref="N19:N48" si="2">IF($N$12-C19&lt;=0,,IF(C19=0,,C19-$N$14))</f>
        <v>0</v>
      </c>
      <c r="O19" s="58">
        <f t="shared" ref="O19:O48" si="3">IF($N$14=0,,IF(N19=0,,($E$13+$E$14+$E$12)*(C19-N19)))</f>
        <v>0</v>
      </c>
      <c r="P19" s="46"/>
      <c r="Q19" s="190"/>
      <c r="R19" s="190"/>
      <c r="S19" s="35"/>
      <c r="T19" s="15"/>
      <c r="U19" s="40"/>
      <c r="V19" s="18"/>
      <c r="W19" s="134"/>
      <c r="X19" s="134"/>
      <c r="Y19" s="135"/>
      <c r="Z19" s="135"/>
      <c r="AA19" s="1"/>
      <c r="AB19" s="1"/>
      <c r="AC19" s="1"/>
      <c r="AD19" s="1"/>
    </row>
    <row r="20" spans="1:30" ht="13.5" customHeight="1" x14ac:dyDescent="0.2">
      <c r="B20" s="54"/>
      <c r="C20" s="88"/>
      <c r="D20" s="13"/>
      <c r="E20" s="52">
        <f t="shared" ref="E20:E48" si="4">IF(B20=0,,(B20-B19))</f>
        <v>0</v>
      </c>
      <c r="F20" s="15"/>
      <c r="G20" s="49">
        <f t="shared" si="0"/>
        <v>0</v>
      </c>
      <c r="H20" s="130">
        <f t="shared" si="1"/>
        <v>0</v>
      </c>
      <c r="I20" s="131"/>
      <c r="J20" s="51">
        <f t="shared" ref="J20:J48" si="5">(H19+H20)/2</f>
        <v>0</v>
      </c>
      <c r="K20" s="193">
        <f t="shared" ref="K20:K48" si="6">(W20*E20)</f>
        <v>0</v>
      </c>
      <c r="L20" s="192"/>
      <c r="N20" s="49">
        <f t="shared" si="2"/>
        <v>0</v>
      </c>
      <c r="O20" s="58">
        <f t="shared" si="3"/>
        <v>0</v>
      </c>
      <c r="P20" s="47">
        <f t="shared" ref="P20:P48" si="7">(O19+O20)/2</f>
        <v>0</v>
      </c>
      <c r="Q20" s="191">
        <f t="shared" ref="Q20:Q48" si="8">(Y20*E20)</f>
        <v>0</v>
      </c>
      <c r="R20" s="192"/>
      <c r="T20" s="15"/>
      <c r="U20" s="18"/>
      <c r="V20" s="18"/>
      <c r="W20" s="140">
        <f t="shared" ref="W20:W48" si="9">(J20/27)</f>
        <v>0</v>
      </c>
      <c r="X20" s="141"/>
      <c r="Y20" s="142">
        <f t="shared" ref="Y20:Y48" si="10">(P20/27)</f>
        <v>0</v>
      </c>
      <c r="Z20" s="143"/>
      <c r="AA20" s="44">
        <f t="shared" ref="AA20:AA48" si="11">IF(B19=0,,$E$12+(G19*$E$13)+(G19*$E$14))</f>
        <v>0</v>
      </c>
      <c r="AB20" s="44">
        <f>IF(B19=0,,($N$12-C19)*$E$13)</f>
        <v>0</v>
      </c>
      <c r="AC20" s="144">
        <f>AB20*J20</f>
        <v>0</v>
      </c>
      <c r="AD20" s="145"/>
    </row>
    <row r="21" spans="1:30" ht="13.5" customHeight="1" x14ac:dyDescent="0.2">
      <c r="B21" s="55"/>
      <c r="C21" s="89"/>
      <c r="D21" s="13"/>
      <c r="E21" s="53">
        <f t="shared" si="4"/>
        <v>0</v>
      </c>
      <c r="F21" s="15"/>
      <c r="G21" s="49">
        <f t="shared" si="0"/>
        <v>0</v>
      </c>
      <c r="H21" s="130">
        <f t="shared" si="1"/>
        <v>0</v>
      </c>
      <c r="I21" s="131"/>
      <c r="J21" s="49">
        <f t="shared" si="5"/>
        <v>0</v>
      </c>
      <c r="K21" s="187">
        <f t="shared" si="6"/>
        <v>0</v>
      </c>
      <c r="L21" s="188"/>
      <c r="N21" s="49">
        <f t="shared" si="2"/>
        <v>0</v>
      </c>
      <c r="O21" s="58">
        <f t="shared" si="3"/>
        <v>0</v>
      </c>
      <c r="P21" s="48">
        <f t="shared" si="7"/>
        <v>0</v>
      </c>
      <c r="Q21" s="189">
        <f t="shared" si="8"/>
        <v>0</v>
      </c>
      <c r="R21" s="188"/>
      <c r="T21" s="15"/>
      <c r="U21" s="18"/>
      <c r="V21" s="18"/>
      <c r="W21" s="140">
        <f t="shared" si="9"/>
        <v>0</v>
      </c>
      <c r="X21" s="141"/>
      <c r="Y21" s="142">
        <f t="shared" si="10"/>
        <v>0</v>
      </c>
      <c r="Z21" s="143"/>
      <c r="AA21" s="44">
        <f t="shared" si="11"/>
        <v>0</v>
      </c>
      <c r="AB21" s="44">
        <f t="shared" ref="AB21:AB48" si="12">(AA20+AA21)/2</f>
        <v>0</v>
      </c>
      <c r="AC21" s="144">
        <f t="shared" ref="AC21:AC48" si="13">AB21*E21</f>
        <v>0</v>
      </c>
      <c r="AD21" s="145"/>
    </row>
    <row r="22" spans="1:30" ht="13.5" customHeight="1" x14ac:dyDescent="0.2">
      <c r="B22" s="54"/>
      <c r="C22" s="54"/>
      <c r="D22" s="13"/>
      <c r="E22" s="53">
        <f t="shared" si="4"/>
        <v>0</v>
      </c>
      <c r="F22" s="15"/>
      <c r="G22" s="49">
        <f t="shared" si="0"/>
        <v>0</v>
      </c>
      <c r="H22" s="130">
        <f t="shared" si="1"/>
        <v>0</v>
      </c>
      <c r="I22" s="131"/>
      <c r="J22" s="49">
        <f t="shared" si="5"/>
        <v>0</v>
      </c>
      <c r="K22" s="187">
        <f t="shared" si="6"/>
        <v>0</v>
      </c>
      <c r="L22" s="188"/>
      <c r="N22" s="49">
        <f t="shared" si="2"/>
        <v>0</v>
      </c>
      <c r="O22" s="58">
        <f t="shared" si="3"/>
        <v>0</v>
      </c>
      <c r="P22" s="48">
        <f t="shared" si="7"/>
        <v>0</v>
      </c>
      <c r="Q22" s="189">
        <f t="shared" si="8"/>
        <v>0</v>
      </c>
      <c r="R22" s="188"/>
      <c r="T22" s="15"/>
      <c r="U22" s="18"/>
      <c r="V22" s="18"/>
      <c r="W22" s="140">
        <f t="shared" si="9"/>
        <v>0</v>
      </c>
      <c r="X22" s="141"/>
      <c r="Y22" s="142">
        <f t="shared" si="10"/>
        <v>0</v>
      </c>
      <c r="Z22" s="143"/>
      <c r="AA22" s="44">
        <f t="shared" si="11"/>
        <v>0</v>
      </c>
      <c r="AB22" s="44">
        <f t="shared" si="12"/>
        <v>0</v>
      </c>
      <c r="AC22" s="144">
        <f t="shared" si="13"/>
        <v>0</v>
      </c>
      <c r="AD22" s="145"/>
    </row>
    <row r="23" spans="1:30" ht="13.5" customHeight="1" x14ac:dyDescent="0.2">
      <c r="B23" s="54"/>
      <c r="C23" s="54"/>
      <c r="D23" s="13"/>
      <c r="E23" s="53">
        <f t="shared" si="4"/>
        <v>0</v>
      </c>
      <c r="F23" s="15"/>
      <c r="G23" s="49">
        <f t="shared" si="0"/>
        <v>0</v>
      </c>
      <c r="H23" s="130">
        <f t="shared" si="1"/>
        <v>0</v>
      </c>
      <c r="I23" s="131"/>
      <c r="J23" s="49">
        <f t="shared" si="5"/>
        <v>0</v>
      </c>
      <c r="K23" s="187">
        <f t="shared" si="6"/>
        <v>0</v>
      </c>
      <c r="L23" s="188"/>
      <c r="N23" s="49">
        <f t="shared" si="2"/>
        <v>0</v>
      </c>
      <c r="O23" s="58">
        <f t="shared" si="3"/>
        <v>0</v>
      </c>
      <c r="P23" s="48">
        <f t="shared" si="7"/>
        <v>0</v>
      </c>
      <c r="Q23" s="189">
        <f t="shared" si="8"/>
        <v>0</v>
      </c>
      <c r="R23" s="188"/>
      <c r="T23" s="15"/>
      <c r="U23" s="18"/>
      <c r="V23" s="18"/>
      <c r="W23" s="140">
        <f t="shared" si="9"/>
        <v>0</v>
      </c>
      <c r="X23" s="141"/>
      <c r="Y23" s="142">
        <f t="shared" si="10"/>
        <v>0</v>
      </c>
      <c r="Z23" s="143"/>
      <c r="AA23" s="44">
        <f t="shared" si="11"/>
        <v>0</v>
      </c>
      <c r="AB23" s="44">
        <f t="shared" si="12"/>
        <v>0</v>
      </c>
      <c r="AC23" s="144">
        <f t="shared" si="13"/>
        <v>0</v>
      </c>
      <c r="AD23" s="145"/>
    </row>
    <row r="24" spans="1:30" ht="13.5" customHeight="1" x14ac:dyDescent="0.2">
      <c r="B24" s="54"/>
      <c r="C24" s="54"/>
      <c r="D24" s="13"/>
      <c r="E24" s="53">
        <f t="shared" si="4"/>
        <v>0</v>
      </c>
      <c r="F24" s="15"/>
      <c r="G24" s="49">
        <f t="shared" si="0"/>
        <v>0</v>
      </c>
      <c r="H24" s="130">
        <f t="shared" si="1"/>
        <v>0</v>
      </c>
      <c r="I24" s="131"/>
      <c r="J24" s="49">
        <f t="shared" si="5"/>
        <v>0</v>
      </c>
      <c r="K24" s="187">
        <f t="shared" si="6"/>
        <v>0</v>
      </c>
      <c r="L24" s="188"/>
      <c r="N24" s="49">
        <f t="shared" si="2"/>
        <v>0</v>
      </c>
      <c r="O24" s="58">
        <f t="shared" si="3"/>
        <v>0</v>
      </c>
      <c r="P24" s="48">
        <f t="shared" si="7"/>
        <v>0</v>
      </c>
      <c r="Q24" s="189">
        <f t="shared" si="8"/>
        <v>0</v>
      </c>
      <c r="R24" s="188"/>
      <c r="T24" s="15"/>
      <c r="U24" s="18"/>
      <c r="V24" s="18"/>
      <c r="W24" s="140">
        <f t="shared" si="9"/>
        <v>0</v>
      </c>
      <c r="X24" s="141"/>
      <c r="Y24" s="142">
        <f t="shared" si="10"/>
        <v>0</v>
      </c>
      <c r="Z24" s="143"/>
      <c r="AA24" s="44">
        <f t="shared" si="11"/>
        <v>0</v>
      </c>
      <c r="AB24" s="44">
        <f t="shared" si="12"/>
        <v>0</v>
      </c>
      <c r="AC24" s="144">
        <f t="shared" si="13"/>
        <v>0</v>
      </c>
      <c r="AD24" s="145"/>
    </row>
    <row r="25" spans="1:30" ht="13.5" customHeight="1" x14ac:dyDescent="0.2">
      <c r="B25" s="54"/>
      <c r="C25" s="54"/>
      <c r="D25" s="13"/>
      <c r="E25" s="53">
        <f t="shared" si="4"/>
        <v>0</v>
      </c>
      <c r="F25" s="15"/>
      <c r="G25" s="49">
        <f t="shared" si="0"/>
        <v>0</v>
      </c>
      <c r="H25" s="130">
        <f t="shared" si="1"/>
        <v>0</v>
      </c>
      <c r="I25" s="131"/>
      <c r="J25" s="49">
        <f t="shared" si="5"/>
        <v>0</v>
      </c>
      <c r="K25" s="187">
        <f t="shared" si="6"/>
        <v>0</v>
      </c>
      <c r="L25" s="188"/>
      <c r="N25" s="49">
        <f t="shared" si="2"/>
        <v>0</v>
      </c>
      <c r="O25" s="58">
        <f t="shared" si="3"/>
        <v>0</v>
      </c>
      <c r="P25" s="48">
        <f t="shared" si="7"/>
        <v>0</v>
      </c>
      <c r="Q25" s="189">
        <f t="shared" si="8"/>
        <v>0</v>
      </c>
      <c r="R25" s="188"/>
      <c r="T25" s="15"/>
      <c r="U25" s="18"/>
      <c r="V25" s="18"/>
      <c r="W25" s="140">
        <f t="shared" si="9"/>
        <v>0</v>
      </c>
      <c r="X25" s="141"/>
      <c r="Y25" s="142">
        <f t="shared" si="10"/>
        <v>0</v>
      </c>
      <c r="Z25" s="143"/>
      <c r="AA25" s="44">
        <f t="shared" si="11"/>
        <v>0</v>
      </c>
      <c r="AB25" s="44">
        <f t="shared" si="12"/>
        <v>0</v>
      </c>
      <c r="AC25" s="144">
        <f t="shared" si="13"/>
        <v>0</v>
      </c>
      <c r="AD25" s="145"/>
    </row>
    <row r="26" spans="1:30" ht="13.5" customHeight="1" x14ac:dyDescent="0.2">
      <c r="B26" s="54"/>
      <c r="C26" s="54"/>
      <c r="D26" s="13"/>
      <c r="E26" s="53">
        <f t="shared" si="4"/>
        <v>0</v>
      </c>
      <c r="F26" s="15"/>
      <c r="G26" s="49">
        <f t="shared" si="0"/>
        <v>0</v>
      </c>
      <c r="H26" s="130">
        <f t="shared" si="1"/>
        <v>0</v>
      </c>
      <c r="I26" s="131"/>
      <c r="J26" s="49">
        <f t="shared" si="5"/>
        <v>0</v>
      </c>
      <c r="K26" s="187">
        <f t="shared" si="6"/>
        <v>0</v>
      </c>
      <c r="L26" s="188"/>
      <c r="N26" s="49">
        <f t="shared" si="2"/>
        <v>0</v>
      </c>
      <c r="O26" s="58">
        <f t="shared" si="3"/>
        <v>0</v>
      </c>
      <c r="P26" s="48">
        <f t="shared" si="7"/>
        <v>0</v>
      </c>
      <c r="Q26" s="189">
        <f t="shared" si="8"/>
        <v>0</v>
      </c>
      <c r="R26" s="188"/>
      <c r="T26" s="15"/>
      <c r="U26" s="18"/>
      <c r="V26" s="18"/>
      <c r="W26" s="140">
        <f t="shared" si="9"/>
        <v>0</v>
      </c>
      <c r="X26" s="141"/>
      <c r="Y26" s="142">
        <f t="shared" si="10"/>
        <v>0</v>
      </c>
      <c r="Z26" s="143"/>
      <c r="AA26" s="44">
        <f t="shared" si="11"/>
        <v>0</v>
      </c>
      <c r="AB26" s="44">
        <f t="shared" si="12"/>
        <v>0</v>
      </c>
      <c r="AC26" s="144">
        <f t="shared" si="13"/>
        <v>0</v>
      </c>
      <c r="AD26" s="145"/>
    </row>
    <row r="27" spans="1:30" ht="13.5" customHeight="1" x14ac:dyDescent="0.2">
      <c r="B27" s="54"/>
      <c r="C27" s="54"/>
      <c r="D27" s="13"/>
      <c r="E27" s="53">
        <f t="shared" si="4"/>
        <v>0</v>
      </c>
      <c r="F27" s="15"/>
      <c r="G27" s="49">
        <f t="shared" si="0"/>
        <v>0</v>
      </c>
      <c r="H27" s="130">
        <f t="shared" si="1"/>
        <v>0</v>
      </c>
      <c r="I27" s="131"/>
      <c r="J27" s="49">
        <f t="shared" si="5"/>
        <v>0</v>
      </c>
      <c r="K27" s="187">
        <f t="shared" si="6"/>
        <v>0</v>
      </c>
      <c r="L27" s="188"/>
      <c r="N27" s="49">
        <f t="shared" si="2"/>
        <v>0</v>
      </c>
      <c r="O27" s="58">
        <f t="shared" si="3"/>
        <v>0</v>
      </c>
      <c r="P27" s="48">
        <f t="shared" si="7"/>
        <v>0</v>
      </c>
      <c r="Q27" s="189">
        <f t="shared" si="8"/>
        <v>0</v>
      </c>
      <c r="R27" s="188"/>
      <c r="T27" s="15"/>
      <c r="U27" s="18"/>
      <c r="V27" s="18"/>
      <c r="W27" s="140">
        <f t="shared" si="9"/>
        <v>0</v>
      </c>
      <c r="X27" s="141"/>
      <c r="Y27" s="142">
        <f t="shared" si="10"/>
        <v>0</v>
      </c>
      <c r="Z27" s="143"/>
      <c r="AA27" s="44">
        <f t="shared" si="11"/>
        <v>0</v>
      </c>
      <c r="AB27" s="44">
        <f t="shared" si="12"/>
        <v>0</v>
      </c>
      <c r="AC27" s="144">
        <f t="shared" si="13"/>
        <v>0</v>
      </c>
      <c r="AD27" s="145"/>
    </row>
    <row r="28" spans="1:30" ht="13.5" customHeight="1" x14ac:dyDescent="0.2">
      <c r="B28" s="54"/>
      <c r="C28" s="54"/>
      <c r="D28" s="13"/>
      <c r="E28" s="53">
        <f t="shared" si="4"/>
        <v>0</v>
      </c>
      <c r="F28" s="15"/>
      <c r="G28" s="49">
        <f t="shared" si="0"/>
        <v>0</v>
      </c>
      <c r="H28" s="130">
        <f t="shared" si="1"/>
        <v>0</v>
      </c>
      <c r="I28" s="131"/>
      <c r="J28" s="49">
        <f t="shared" si="5"/>
        <v>0</v>
      </c>
      <c r="K28" s="187">
        <f t="shared" si="6"/>
        <v>0</v>
      </c>
      <c r="L28" s="188"/>
      <c r="N28" s="49">
        <f t="shared" si="2"/>
        <v>0</v>
      </c>
      <c r="O28" s="58">
        <f t="shared" si="3"/>
        <v>0</v>
      </c>
      <c r="P28" s="48">
        <f t="shared" si="7"/>
        <v>0</v>
      </c>
      <c r="Q28" s="189">
        <f t="shared" si="8"/>
        <v>0</v>
      </c>
      <c r="R28" s="188"/>
      <c r="T28" s="15"/>
      <c r="U28" s="18"/>
      <c r="V28" s="18"/>
      <c r="W28" s="140">
        <f t="shared" si="9"/>
        <v>0</v>
      </c>
      <c r="X28" s="141"/>
      <c r="Y28" s="142">
        <f t="shared" si="10"/>
        <v>0</v>
      </c>
      <c r="Z28" s="143"/>
      <c r="AA28" s="44">
        <f t="shared" si="11"/>
        <v>0</v>
      </c>
      <c r="AB28" s="44">
        <f t="shared" si="12"/>
        <v>0</v>
      </c>
      <c r="AC28" s="144">
        <f t="shared" si="13"/>
        <v>0</v>
      </c>
      <c r="AD28" s="145"/>
    </row>
    <row r="29" spans="1:30" ht="13.5" customHeight="1" x14ac:dyDescent="0.2">
      <c r="B29" s="54"/>
      <c r="C29" s="54"/>
      <c r="D29" s="13"/>
      <c r="E29" s="53">
        <f t="shared" si="4"/>
        <v>0</v>
      </c>
      <c r="F29" s="15"/>
      <c r="G29" s="49">
        <f t="shared" si="0"/>
        <v>0</v>
      </c>
      <c r="H29" s="130">
        <f t="shared" si="1"/>
        <v>0</v>
      </c>
      <c r="I29" s="131"/>
      <c r="J29" s="49">
        <f t="shared" si="5"/>
        <v>0</v>
      </c>
      <c r="K29" s="187">
        <f t="shared" si="6"/>
        <v>0</v>
      </c>
      <c r="L29" s="188"/>
      <c r="N29" s="49">
        <f t="shared" si="2"/>
        <v>0</v>
      </c>
      <c r="O29" s="58">
        <f t="shared" si="3"/>
        <v>0</v>
      </c>
      <c r="P29" s="48">
        <f t="shared" si="7"/>
        <v>0</v>
      </c>
      <c r="Q29" s="189">
        <f t="shared" si="8"/>
        <v>0</v>
      </c>
      <c r="R29" s="188"/>
      <c r="T29" s="15"/>
      <c r="U29" s="18"/>
      <c r="V29" s="18"/>
      <c r="W29" s="140">
        <f t="shared" si="9"/>
        <v>0</v>
      </c>
      <c r="X29" s="141"/>
      <c r="Y29" s="142">
        <f t="shared" si="10"/>
        <v>0</v>
      </c>
      <c r="Z29" s="143"/>
      <c r="AA29" s="44">
        <f t="shared" si="11"/>
        <v>0</v>
      </c>
      <c r="AB29" s="44">
        <f t="shared" si="12"/>
        <v>0</v>
      </c>
      <c r="AC29" s="144">
        <f t="shared" si="13"/>
        <v>0</v>
      </c>
      <c r="AD29" s="145"/>
    </row>
    <row r="30" spans="1:30" ht="13.5" customHeight="1" x14ac:dyDescent="0.2">
      <c r="B30" s="54"/>
      <c r="C30" s="54"/>
      <c r="D30" s="13"/>
      <c r="E30" s="53">
        <f t="shared" si="4"/>
        <v>0</v>
      </c>
      <c r="F30" s="15"/>
      <c r="G30" s="49">
        <f t="shared" si="0"/>
        <v>0</v>
      </c>
      <c r="H30" s="130">
        <f t="shared" si="1"/>
        <v>0</v>
      </c>
      <c r="I30" s="131"/>
      <c r="J30" s="49">
        <f t="shared" si="5"/>
        <v>0</v>
      </c>
      <c r="K30" s="187">
        <f t="shared" si="6"/>
        <v>0</v>
      </c>
      <c r="L30" s="188"/>
      <c r="N30" s="49">
        <f t="shared" si="2"/>
        <v>0</v>
      </c>
      <c r="O30" s="58">
        <f t="shared" si="3"/>
        <v>0</v>
      </c>
      <c r="P30" s="48">
        <f t="shared" si="7"/>
        <v>0</v>
      </c>
      <c r="Q30" s="189">
        <f t="shared" si="8"/>
        <v>0</v>
      </c>
      <c r="R30" s="188"/>
      <c r="T30" s="15"/>
      <c r="U30" s="18"/>
      <c r="V30" s="18"/>
      <c r="W30" s="140">
        <f t="shared" si="9"/>
        <v>0</v>
      </c>
      <c r="X30" s="141"/>
      <c r="Y30" s="142">
        <f t="shared" si="10"/>
        <v>0</v>
      </c>
      <c r="Z30" s="143"/>
      <c r="AA30" s="44">
        <f t="shared" si="11"/>
        <v>0</v>
      </c>
      <c r="AB30" s="44">
        <f t="shared" si="12"/>
        <v>0</v>
      </c>
      <c r="AC30" s="144">
        <f t="shared" si="13"/>
        <v>0</v>
      </c>
      <c r="AD30" s="145"/>
    </row>
    <row r="31" spans="1:30" ht="13.5" customHeight="1" x14ac:dyDescent="0.2">
      <c r="B31" s="54"/>
      <c r="C31" s="54"/>
      <c r="D31" s="13"/>
      <c r="E31" s="53">
        <f t="shared" si="4"/>
        <v>0</v>
      </c>
      <c r="F31" s="15"/>
      <c r="G31" s="49">
        <f t="shared" si="0"/>
        <v>0</v>
      </c>
      <c r="H31" s="130">
        <f t="shared" si="1"/>
        <v>0</v>
      </c>
      <c r="I31" s="131"/>
      <c r="J31" s="49">
        <f t="shared" si="5"/>
        <v>0</v>
      </c>
      <c r="K31" s="187">
        <f t="shared" si="6"/>
        <v>0</v>
      </c>
      <c r="L31" s="188"/>
      <c r="N31" s="49">
        <f t="shared" si="2"/>
        <v>0</v>
      </c>
      <c r="O31" s="58">
        <f t="shared" si="3"/>
        <v>0</v>
      </c>
      <c r="P31" s="48">
        <f t="shared" si="7"/>
        <v>0</v>
      </c>
      <c r="Q31" s="189">
        <f t="shared" si="8"/>
        <v>0</v>
      </c>
      <c r="R31" s="188"/>
      <c r="T31" s="15"/>
      <c r="U31" s="18"/>
      <c r="V31" s="18"/>
      <c r="W31" s="140">
        <f t="shared" si="9"/>
        <v>0</v>
      </c>
      <c r="X31" s="141"/>
      <c r="Y31" s="142">
        <f t="shared" si="10"/>
        <v>0</v>
      </c>
      <c r="Z31" s="143"/>
      <c r="AA31" s="44">
        <f t="shared" si="11"/>
        <v>0</v>
      </c>
      <c r="AB31" s="44">
        <f t="shared" si="12"/>
        <v>0</v>
      </c>
      <c r="AC31" s="144">
        <f t="shared" si="13"/>
        <v>0</v>
      </c>
      <c r="AD31" s="145"/>
    </row>
    <row r="32" spans="1:30" ht="13.5" customHeight="1" x14ac:dyDescent="0.2">
      <c r="B32" s="54"/>
      <c r="C32" s="54"/>
      <c r="D32" s="13"/>
      <c r="E32" s="53">
        <f t="shared" si="4"/>
        <v>0</v>
      </c>
      <c r="F32" s="15"/>
      <c r="G32" s="49">
        <f t="shared" si="0"/>
        <v>0</v>
      </c>
      <c r="H32" s="130">
        <f t="shared" si="1"/>
        <v>0</v>
      </c>
      <c r="I32" s="131"/>
      <c r="J32" s="49">
        <f t="shared" si="5"/>
        <v>0</v>
      </c>
      <c r="K32" s="187">
        <f t="shared" si="6"/>
        <v>0</v>
      </c>
      <c r="L32" s="188"/>
      <c r="N32" s="49">
        <f t="shared" si="2"/>
        <v>0</v>
      </c>
      <c r="O32" s="58">
        <f t="shared" si="3"/>
        <v>0</v>
      </c>
      <c r="P32" s="48">
        <f t="shared" si="7"/>
        <v>0</v>
      </c>
      <c r="Q32" s="189">
        <f t="shared" si="8"/>
        <v>0</v>
      </c>
      <c r="R32" s="188"/>
      <c r="T32" s="15"/>
      <c r="U32" s="18"/>
      <c r="V32" s="18"/>
      <c r="W32" s="140">
        <f t="shared" si="9"/>
        <v>0</v>
      </c>
      <c r="X32" s="141"/>
      <c r="Y32" s="142">
        <f t="shared" si="10"/>
        <v>0</v>
      </c>
      <c r="Z32" s="143"/>
      <c r="AA32" s="44">
        <f t="shared" si="11"/>
        <v>0</v>
      </c>
      <c r="AB32" s="44">
        <f t="shared" si="12"/>
        <v>0</v>
      </c>
      <c r="AC32" s="144">
        <f t="shared" si="13"/>
        <v>0</v>
      </c>
      <c r="AD32" s="145"/>
    </row>
    <row r="33" spans="2:31" ht="13.5" customHeight="1" x14ac:dyDescent="0.2">
      <c r="B33" s="54"/>
      <c r="C33" s="54"/>
      <c r="D33" s="13"/>
      <c r="E33" s="53">
        <f t="shared" si="4"/>
        <v>0</v>
      </c>
      <c r="F33" s="15"/>
      <c r="G33" s="49">
        <f t="shared" si="0"/>
        <v>0</v>
      </c>
      <c r="H33" s="130">
        <f t="shared" si="1"/>
        <v>0</v>
      </c>
      <c r="I33" s="131"/>
      <c r="J33" s="49">
        <f t="shared" si="5"/>
        <v>0</v>
      </c>
      <c r="K33" s="187">
        <f t="shared" si="6"/>
        <v>0</v>
      </c>
      <c r="L33" s="188"/>
      <c r="N33" s="49">
        <f t="shared" si="2"/>
        <v>0</v>
      </c>
      <c r="O33" s="58">
        <f t="shared" si="3"/>
        <v>0</v>
      </c>
      <c r="P33" s="48">
        <f t="shared" si="7"/>
        <v>0</v>
      </c>
      <c r="Q33" s="189">
        <f t="shared" si="8"/>
        <v>0</v>
      </c>
      <c r="R33" s="188"/>
      <c r="T33" s="15"/>
      <c r="U33" s="18"/>
      <c r="V33" s="18"/>
      <c r="W33" s="140">
        <f t="shared" si="9"/>
        <v>0</v>
      </c>
      <c r="X33" s="141"/>
      <c r="Y33" s="142">
        <f t="shared" si="10"/>
        <v>0</v>
      </c>
      <c r="Z33" s="143"/>
      <c r="AA33" s="44">
        <f t="shared" si="11"/>
        <v>0</v>
      </c>
      <c r="AB33" s="44">
        <f t="shared" si="12"/>
        <v>0</v>
      </c>
      <c r="AC33" s="144">
        <f t="shared" si="13"/>
        <v>0</v>
      </c>
      <c r="AD33" s="145"/>
    </row>
    <row r="34" spans="2:31" ht="13.5" customHeight="1" x14ac:dyDescent="0.2">
      <c r="B34" s="54"/>
      <c r="C34" s="54"/>
      <c r="D34" s="13"/>
      <c r="E34" s="53">
        <f t="shared" si="4"/>
        <v>0</v>
      </c>
      <c r="F34" s="15"/>
      <c r="G34" s="49">
        <f t="shared" si="0"/>
        <v>0</v>
      </c>
      <c r="H34" s="130">
        <f t="shared" si="1"/>
        <v>0</v>
      </c>
      <c r="I34" s="131"/>
      <c r="J34" s="49">
        <f t="shared" si="5"/>
        <v>0</v>
      </c>
      <c r="K34" s="187">
        <f t="shared" si="6"/>
        <v>0</v>
      </c>
      <c r="L34" s="188"/>
      <c r="N34" s="49">
        <f t="shared" si="2"/>
        <v>0</v>
      </c>
      <c r="O34" s="58">
        <f t="shared" si="3"/>
        <v>0</v>
      </c>
      <c r="P34" s="48">
        <f t="shared" si="7"/>
        <v>0</v>
      </c>
      <c r="Q34" s="189">
        <f t="shared" si="8"/>
        <v>0</v>
      </c>
      <c r="R34" s="188"/>
      <c r="T34" s="15"/>
      <c r="U34" s="18"/>
      <c r="V34" s="18"/>
      <c r="W34" s="140">
        <f t="shared" si="9"/>
        <v>0</v>
      </c>
      <c r="X34" s="141"/>
      <c r="Y34" s="142">
        <f t="shared" si="10"/>
        <v>0</v>
      </c>
      <c r="Z34" s="143"/>
      <c r="AA34" s="44">
        <f t="shared" si="11"/>
        <v>0</v>
      </c>
      <c r="AB34" s="44">
        <f t="shared" si="12"/>
        <v>0</v>
      </c>
      <c r="AC34" s="144">
        <f t="shared" si="13"/>
        <v>0</v>
      </c>
      <c r="AD34" s="145"/>
    </row>
    <row r="35" spans="2:31" ht="13.5" customHeight="1" x14ac:dyDescent="0.2">
      <c r="B35" s="54"/>
      <c r="C35" s="54"/>
      <c r="D35" s="13"/>
      <c r="E35" s="53">
        <f t="shared" si="4"/>
        <v>0</v>
      </c>
      <c r="F35" s="15"/>
      <c r="G35" s="49">
        <f t="shared" si="0"/>
        <v>0</v>
      </c>
      <c r="H35" s="130">
        <f t="shared" si="1"/>
        <v>0</v>
      </c>
      <c r="I35" s="131"/>
      <c r="J35" s="49">
        <f t="shared" si="5"/>
        <v>0</v>
      </c>
      <c r="K35" s="187">
        <f t="shared" si="6"/>
        <v>0</v>
      </c>
      <c r="L35" s="188"/>
      <c r="N35" s="49">
        <f t="shared" si="2"/>
        <v>0</v>
      </c>
      <c r="O35" s="58">
        <f t="shared" si="3"/>
        <v>0</v>
      </c>
      <c r="P35" s="48">
        <f t="shared" si="7"/>
        <v>0</v>
      </c>
      <c r="Q35" s="189">
        <f t="shared" si="8"/>
        <v>0</v>
      </c>
      <c r="R35" s="188"/>
      <c r="T35" s="15"/>
      <c r="U35" s="18"/>
      <c r="V35" s="18"/>
      <c r="W35" s="140">
        <f t="shared" si="9"/>
        <v>0</v>
      </c>
      <c r="X35" s="141"/>
      <c r="Y35" s="142">
        <f t="shared" si="10"/>
        <v>0</v>
      </c>
      <c r="Z35" s="143"/>
      <c r="AA35" s="44">
        <f t="shared" si="11"/>
        <v>0</v>
      </c>
      <c r="AB35" s="44">
        <f t="shared" si="12"/>
        <v>0</v>
      </c>
      <c r="AC35" s="144">
        <f t="shared" si="13"/>
        <v>0</v>
      </c>
      <c r="AD35" s="145"/>
    </row>
    <row r="36" spans="2:31" ht="13.5" customHeight="1" x14ac:dyDescent="0.2">
      <c r="B36" s="54"/>
      <c r="C36" s="54"/>
      <c r="D36" s="13"/>
      <c r="E36" s="53">
        <f t="shared" si="4"/>
        <v>0</v>
      </c>
      <c r="F36" s="15"/>
      <c r="G36" s="49">
        <f t="shared" si="0"/>
        <v>0</v>
      </c>
      <c r="H36" s="130">
        <f t="shared" si="1"/>
        <v>0</v>
      </c>
      <c r="I36" s="131"/>
      <c r="J36" s="49">
        <f t="shared" si="5"/>
        <v>0</v>
      </c>
      <c r="K36" s="187">
        <f t="shared" si="6"/>
        <v>0</v>
      </c>
      <c r="L36" s="188"/>
      <c r="N36" s="49">
        <f t="shared" si="2"/>
        <v>0</v>
      </c>
      <c r="O36" s="58">
        <f t="shared" si="3"/>
        <v>0</v>
      </c>
      <c r="P36" s="48">
        <f t="shared" si="7"/>
        <v>0</v>
      </c>
      <c r="Q36" s="189">
        <f t="shared" si="8"/>
        <v>0</v>
      </c>
      <c r="R36" s="188"/>
      <c r="T36" s="15"/>
      <c r="U36" s="18"/>
      <c r="V36" s="18"/>
      <c r="W36" s="140">
        <f t="shared" si="9"/>
        <v>0</v>
      </c>
      <c r="X36" s="141"/>
      <c r="Y36" s="142">
        <f t="shared" si="10"/>
        <v>0</v>
      </c>
      <c r="Z36" s="143"/>
      <c r="AA36" s="44">
        <f t="shared" si="11"/>
        <v>0</v>
      </c>
      <c r="AB36" s="44">
        <f t="shared" si="12"/>
        <v>0</v>
      </c>
      <c r="AC36" s="144">
        <f t="shared" si="13"/>
        <v>0</v>
      </c>
      <c r="AD36" s="145"/>
    </row>
    <row r="37" spans="2:31" ht="13.5" customHeight="1" x14ac:dyDescent="0.2">
      <c r="B37" s="54"/>
      <c r="C37" s="54"/>
      <c r="D37" s="13"/>
      <c r="E37" s="53">
        <f t="shared" si="4"/>
        <v>0</v>
      </c>
      <c r="F37" s="15"/>
      <c r="G37" s="49">
        <f t="shared" si="0"/>
        <v>0</v>
      </c>
      <c r="H37" s="130">
        <f t="shared" si="1"/>
        <v>0</v>
      </c>
      <c r="I37" s="131"/>
      <c r="J37" s="49">
        <f t="shared" si="5"/>
        <v>0</v>
      </c>
      <c r="K37" s="187">
        <f t="shared" si="6"/>
        <v>0</v>
      </c>
      <c r="L37" s="188"/>
      <c r="N37" s="49">
        <f t="shared" si="2"/>
        <v>0</v>
      </c>
      <c r="O37" s="58">
        <f t="shared" si="3"/>
        <v>0</v>
      </c>
      <c r="P37" s="48">
        <f t="shared" si="7"/>
        <v>0</v>
      </c>
      <c r="Q37" s="189">
        <f t="shared" si="8"/>
        <v>0</v>
      </c>
      <c r="R37" s="188"/>
      <c r="T37" s="15"/>
      <c r="U37" s="18"/>
      <c r="V37" s="18"/>
      <c r="W37" s="140">
        <f t="shared" si="9"/>
        <v>0</v>
      </c>
      <c r="X37" s="141"/>
      <c r="Y37" s="142">
        <f t="shared" si="10"/>
        <v>0</v>
      </c>
      <c r="Z37" s="143"/>
      <c r="AA37" s="44">
        <f t="shared" si="11"/>
        <v>0</v>
      </c>
      <c r="AB37" s="44">
        <f t="shared" si="12"/>
        <v>0</v>
      </c>
      <c r="AC37" s="144">
        <f t="shared" si="13"/>
        <v>0</v>
      </c>
      <c r="AD37" s="145"/>
    </row>
    <row r="38" spans="2:31" ht="13.5" customHeight="1" x14ac:dyDescent="0.2">
      <c r="B38" s="54"/>
      <c r="C38" s="54"/>
      <c r="D38" s="13"/>
      <c r="E38" s="53">
        <f t="shared" si="4"/>
        <v>0</v>
      </c>
      <c r="F38" s="15"/>
      <c r="G38" s="49">
        <f t="shared" si="0"/>
        <v>0</v>
      </c>
      <c r="H38" s="130">
        <f t="shared" si="1"/>
        <v>0</v>
      </c>
      <c r="I38" s="131"/>
      <c r="J38" s="49">
        <f t="shared" si="5"/>
        <v>0</v>
      </c>
      <c r="K38" s="187">
        <f t="shared" si="6"/>
        <v>0</v>
      </c>
      <c r="L38" s="188"/>
      <c r="N38" s="49">
        <f t="shared" si="2"/>
        <v>0</v>
      </c>
      <c r="O38" s="58">
        <f t="shared" si="3"/>
        <v>0</v>
      </c>
      <c r="P38" s="48">
        <f t="shared" si="7"/>
        <v>0</v>
      </c>
      <c r="Q38" s="189">
        <f t="shared" si="8"/>
        <v>0</v>
      </c>
      <c r="R38" s="188"/>
      <c r="T38" s="15"/>
      <c r="U38" s="18"/>
      <c r="V38" s="18"/>
      <c r="W38" s="140">
        <f t="shared" si="9"/>
        <v>0</v>
      </c>
      <c r="X38" s="141"/>
      <c r="Y38" s="142">
        <f t="shared" si="10"/>
        <v>0</v>
      </c>
      <c r="Z38" s="143"/>
      <c r="AA38" s="44">
        <f t="shared" si="11"/>
        <v>0</v>
      </c>
      <c r="AB38" s="44">
        <f t="shared" si="12"/>
        <v>0</v>
      </c>
      <c r="AC38" s="144">
        <f t="shared" si="13"/>
        <v>0</v>
      </c>
      <c r="AD38" s="145"/>
    </row>
    <row r="39" spans="2:31" ht="13.5" customHeight="1" x14ac:dyDescent="0.2">
      <c r="B39" s="54"/>
      <c r="C39" s="54"/>
      <c r="D39" s="13"/>
      <c r="E39" s="53">
        <f t="shared" si="4"/>
        <v>0</v>
      </c>
      <c r="F39" s="15"/>
      <c r="G39" s="49">
        <f t="shared" si="0"/>
        <v>0</v>
      </c>
      <c r="H39" s="130">
        <f t="shared" si="1"/>
        <v>0</v>
      </c>
      <c r="I39" s="131"/>
      <c r="J39" s="49">
        <f t="shared" si="5"/>
        <v>0</v>
      </c>
      <c r="K39" s="187">
        <f t="shared" si="6"/>
        <v>0</v>
      </c>
      <c r="L39" s="188"/>
      <c r="N39" s="49">
        <f t="shared" si="2"/>
        <v>0</v>
      </c>
      <c r="O39" s="58">
        <f t="shared" si="3"/>
        <v>0</v>
      </c>
      <c r="P39" s="48">
        <f t="shared" si="7"/>
        <v>0</v>
      </c>
      <c r="Q39" s="189">
        <f t="shared" si="8"/>
        <v>0</v>
      </c>
      <c r="R39" s="188"/>
      <c r="S39" s="63"/>
      <c r="T39" s="15"/>
      <c r="U39" s="18"/>
      <c r="V39" s="18"/>
      <c r="W39" s="140">
        <f t="shared" si="9"/>
        <v>0</v>
      </c>
      <c r="X39" s="141"/>
      <c r="Y39" s="140">
        <f t="shared" si="10"/>
        <v>0</v>
      </c>
      <c r="Z39" s="141"/>
      <c r="AA39" s="44">
        <f t="shared" si="11"/>
        <v>0</v>
      </c>
      <c r="AB39" s="44">
        <f t="shared" si="12"/>
        <v>0</v>
      </c>
      <c r="AC39" s="144">
        <f t="shared" si="13"/>
        <v>0</v>
      </c>
      <c r="AD39" s="149"/>
      <c r="AE39" s="63"/>
    </row>
    <row r="40" spans="2:31" ht="13.5" customHeight="1" x14ac:dyDescent="0.2">
      <c r="B40" s="54"/>
      <c r="C40" s="54"/>
      <c r="D40" s="13"/>
      <c r="E40" s="53">
        <f t="shared" si="4"/>
        <v>0</v>
      </c>
      <c r="F40" s="15"/>
      <c r="G40" s="49">
        <f t="shared" si="0"/>
        <v>0</v>
      </c>
      <c r="H40" s="130">
        <f t="shared" si="1"/>
        <v>0</v>
      </c>
      <c r="I40" s="131"/>
      <c r="J40" s="49">
        <f t="shared" si="5"/>
        <v>0</v>
      </c>
      <c r="K40" s="187">
        <f t="shared" si="6"/>
        <v>0</v>
      </c>
      <c r="L40" s="188"/>
      <c r="N40" s="49">
        <f t="shared" si="2"/>
        <v>0</v>
      </c>
      <c r="O40" s="58">
        <f t="shared" si="3"/>
        <v>0</v>
      </c>
      <c r="P40" s="48">
        <f t="shared" si="7"/>
        <v>0</v>
      </c>
      <c r="Q40" s="189">
        <f t="shared" si="8"/>
        <v>0</v>
      </c>
      <c r="R40" s="188"/>
      <c r="S40" s="63"/>
      <c r="T40" s="15"/>
      <c r="U40" s="18"/>
      <c r="V40" s="18"/>
      <c r="W40" s="140">
        <f t="shared" si="9"/>
        <v>0</v>
      </c>
      <c r="X40" s="141"/>
      <c r="Y40" s="140">
        <f t="shared" si="10"/>
        <v>0</v>
      </c>
      <c r="Z40" s="141"/>
      <c r="AA40" s="44">
        <f t="shared" si="11"/>
        <v>0</v>
      </c>
      <c r="AB40" s="44">
        <f t="shared" si="12"/>
        <v>0</v>
      </c>
      <c r="AC40" s="144">
        <f t="shared" si="13"/>
        <v>0</v>
      </c>
      <c r="AD40" s="149"/>
      <c r="AE40" s="63"/>
    </row>
    <row r="41" spans="2:31" ht="13.5" customHeight="1" x14ac:dyDescent="0.2">
      <c r="B41" s="54"/>
      <c r="C41" s="54"/>
      <c r="D41" s="13"/>
      <c r="E41" s="53">
        <f t="shared" si="4"/>
        <v>0</v>
      </c>
      <c r="F41" s="15"/>
      <c r="G41" s="49">
        <f t="shared" si="0"/>
        <v>0</v>
      </c>
      <c r="H41" s="130">
        <f t="shared" si="1"/>
        <v>0</v>
      </c>
      <c r="I41" s="131"/>
      <c r="J41" s="49">
        <f t="shared" si="5"/>
        <v>0</v>
      </c>
      <c r="K41" s="187">
        <f t="shared" si="6"/>
        <v>0</v>
      </c>
      <c r="L41" s="188"/>
      <c r="N41" s="49">
        <f t="shared" si="2"/>
        <v>0</v>
      </c>
      <c r="O41" s="58">
        <f t="shared" si="3"/>
        <v>0</v>
      </c>
      <c r="P41" s="48">
        <f t="shared" si="7"/>
        <v>0</v>
      </c>
      <c r="Q41" s="189">
        <f t="shared" si="8"/>
        <v>0</v>
      </c>
      <c r="R41" s="188"/>
      <c r="S41" s="63"/>
      <c r="T41" s="15"/>
      <c r="U41" s="18"/>
      <c r="V41" s="18"/>
      <c r="W41" s="140">
        <f t="shared" si="9"/>
        <v>0</v>
      </c>
      <c r="X41" s="141"/>
      <c r="Y41" s="140">
        <f t="shared" si="10"/>
        <v>0</v>
      </c>
      <c r="Z41" s="141"/>
      <c r="AA41" s="44">
        <f t="shared" si="11"/>
        <v>0</v>
      </c>
      <c r="AB41" s="44">
        <f t="shared" si="12"/>
        <v>0</v>
      </c>
      <c r="AC41" s="144">
        <f t="shared" si="13"/>
        <v>0</v>
      </c>
      <c r="AD41" s="149"/>
      <c r="AE41" s="63"/>
    </row>
    <row r="42" spans="2:31" ht="13.5" customHeight="1" x14ac:dyDescent="0.2">
      <c r="B42" s="54"/>
      <c r="C42" s="54"/>
      <c r="D42" s="13"/>
      <c r="E42" s="53">
        <f t="shared" si="4"/>
        <v>0</v>
      </c>
      <c r="F42" s="15"/>
      <c r="G42" s="49">
        <f t="shared" si="0"/>
        <v>0</v>
      </c>
      <c r="H42" s="130">
        <f t="shared" si="1"/>
        <v>0</v>
      </c>
      <c r="I42" s="131"/>
      <c r="J42" s="49">
        <f t="shared" si="5"/>
        <v>0</v>
      </c>
      <c r="K42" s="187">
        <f t="shared" si="6"/>
        <v>0</v>
      </c>
      <c r="L42" s="188"/>
      <c r="N42" s="49">
        <f t="shared" si="2"/>
        <v>0</v>
      </c>
      <c r="O42" s="58">
        <f t="shared" si="3"/>
        <v>0</v>
      </c>
      <c r="P42" s="48">
        <f t="shared" si="7"/>
        <v>0</v>
      </c>
      <c r="Q42" s="189">
        <f t="shared" si="8"/>
        <v>0</v>
      </c>
      <c r="R42" s="188"/>
      <c r="S42" s="63"/>
      <c r="T42" s="15"/>
      <c r="U42" s="18"/>
      <c r="V42" s="18"/>
      <c r="W42" s="140">
        <f t="shared" si="9"/>
        <v>0</v>
      </c>
      <c r="X42" s="141"/>
      <c r="Y42" s="140">
        <f t="shared" si="10"/>
        <v>0</v>
      </c>
      <c r="Z42" s="141"/>
      <c r="AA42" s="44">
        <f t="shared" si="11"/>
        <v>0</v>
      </c>
      <c r="AB42" s="44">
        <f t="shared" si="12"/>
        <v>0</v>
      </c>
      <c r="AC42" s="144">
        <f t="shared" si="13"/>
        <v>0</v>
      </c>
      <c r="AD42" s="149"/>
      <c r="AE42" s="63"/>
    </row>
    <row r="43" spans="2:31" ht="13.5" customHeight="1" x14ac:dyDescent="0.2">
      <c r="B43" s="54"/>
      <c r="C43" s="54"/>
      <c r="D43" s="13"/>
      <c r="E43" s="53">
        <f t="shared" si="4"/>
        <v>0</v>
      </c>
      <c r="F43" s="15"/>
      <c r="G43" s="49">
        <f t="shared" si="0"/>
        <v>0</v>
      </c>
      <c r="H43" s="130">
        <f t="shared" si="1"/>
        <v>0</v>
      </c>
      <c r="I43" s="131"/>
      <c r="J43" s="49">
        <f t="shared" si="5"/>
        <v>0</v>
      </c>
      <c r="K43" s="187">
        <f t="shared" si="6"/>
        <v>0</v>
      </c>
      <c r="L43" s="188"/>
      <c r="N43" s="49">
        <f t="shared" si="2"/>
        <v>0</v>
      </c>
      <c r="O43" s="58">
        <f t="shared" si="3"/>
        <v>0</v>
      </c>
      <c r="P43" s="48">
        <f t="shared" si="7"/>
        <v>0</v>
      </c>
      <c r="Q43" s="189">
        <f t="shared" si="8"/>
        <v>0</v>
      </c>
      <c r="R43" s="188"/>
      <c r="S43" s="63"/>
      <c r="T43" s="15"/>
      <c r="U43" s="18"/>
      <c r="V43" s="18"/>
      <c r="W43" s="140">
        <f t="shared" si="9"/>
        <v>0</v>
      </c>
      <c r="X43" s="141"/>
      <c r="Y43" s="140">
        <f t="shared" si="10"/>
        <v>0</v>
      </c>
      <c r="Z43" s="141"/>
      <c r="AA43" s="44">
        <f t="shared" si="11"/>
        <v>0</v>
      </c>
      <c r="AB43" s="44">
        <f t="shared" si="12"/>
        <v>0</v>
      </c>
      <c r="AC43" s="144">
        <f t="shared" si="13"/>
        <v>0</v>
      </c>
      <c r="AD43" s="149"/>
      <c r="AE43" s="63"/>
    </row>
    <row r="44" spans="2:31" ht="13.5" customHeight="1" x14ac:dyDescent="0.2">
      <c r="B44" s="54"/>
      <c r="C44" s="54"/>
      <c r="D44" s="13"/>
      <c r="E44" s="53">
        <f t="shared" si="4"/>
        <v>0</v>
      </c>
      <c r="F44" s="15"/>
      <c r="G44" s="49">
        <f t="shared" si="0"/>
        <v>0</v>
      </c>
      <c r="H44" s="130">
        <f t="shared" si="1"/>
        <v>0</v>
      </c>
      <c r="I44" s="131"/>
      <c r="J44" s="49">
        <f t="shared" si="5"/>
        <v>0</v>
      </c>
      <c r="K44" s="187">
        <f t="shared" si="6"/>
        <v>0</v>
      </c>
      <c r="L44" s="188"/>
      <c r="N44" s="49">
        <f t="shared" si="2"/>
        <v>0</v>
      </c>
      <c r="O44" s="58">
        <f t="shared" si="3"/>
        <v>0</v>
      </c>
      <c r="P44" s="48">
        <f t="shared" si="7"/>
        <v>0</v>
      </c>
      <c r="Q44" s="189">
        <f t="shared" si="8"/>
        <v>0</v>
      </c>
      <c r="R44" s="188"/>
      <c r="S44" s="63"/>
      <c r="T44" s="15"/>
      <c r="U44" s="18"/>
      <c r="V44" s="18"/>
      <c r="W44" s="140">
        <f t="shared" si="9"/>
        <v>0</v>
      </c>
      <c r="X44" s="141"/>
      <c r="Y44" s="140">
        <f t="shared" si="10"/>
        <v>0</v>
      </c>
      <c r="Z44" s="141"/>
      <c r="AA44" s="44">
        <f t="shared" si="11"/>
        <v>0</v>
      </c>
      <c r="AB44" s="44">
        <f t="shared" si="12"/>
        <v>0</v>
      </c>
      <c r="AC44" s="144">
        <f t="shared" si="13"/>
        <v>0</v>
      </c>
      <c r="AD44" s="149"/>
      <c r="AE44" s="63"/>
    </row>
    <row r="45" spans="2:31" ht="13.5" customHeight="1" x14ac:dyDescent="0.2">
      <c r="B45" s="54"/>
      <c r="C45" s="54"/>
      <c r="D45" s="13"/>
      <c r="E45" s="53">
        <f t="shared" si="4"/>
        <v>0</v>
      </c>
      <c r="F45" s="15"/>
      <c r="G45" s="49">
        <f t="shared" si="0"/>
        <v>0</v>
      </c>
      <c r="H45" s="130">
        <f t="shared" si="1"/>
        <v>0</v>
      </c>
      <c r="I45" s="131"/>
      <c r="J45" s="49">
        <f t="shared" si="5"/>
        <v>0</v>
      </c>
      <c r="K45" s="187">
        <f t="shared" si="6"/>
        <v>0</v>
      </c>
      <c r="L45" s="188"/>
      <c r="N45" s="49">
        <f t="shared" si="2"/>
        <v>0</v>
      </c>
      <c r="O45" s="58">
        <f t="shared" si="3"/>
        <v>0</v>
      </c>
      <c r="P45" s="48">
        <f t="shared" si="7"/>
        <v>0</v>
      </c>
      <c r="Q45" s="189">
        <f t="shared" si="8"/>
        <v>0</v>
      </c>
      <c r="R45" s="188"/>
      <c r="S45" s="63"/>
      <c r="T45" s="15"/>
      <c r="U45" s="18"/>
      <c r="V45" s="18"/>
      <c r="W45" s="140">
        <f t="shared" si="9"/>
        <v>0</v>
      </c>
      <c r="X45" s="141"/>
      <c r="Y45" s="140">
        <f t="shared" si="10"/>
        <v>0</v>
      </c>
      <c r="Z45" s="141"/>
      <c r="AA45" s="44">
        <f t="shared" si="11"/>
        <v>0</v>
      </c>
      <c r="AB45" s="44">
        <f t="shared" si="12"/>
        <v>0</v>
      </c>
      <c r="AC45" s="144">
        <f t="shared" si="13"/>
        <v>0</v>
      </c>
      <c r="AD45" s="149"/>
      <c r="AE45" s="63"/>
    </row>
    <row r="46" spans="2:31" ht="13.5" customHeight="1" x14ac:dyDescent="0.2">
      <c r="B46" s="54"/>
      <c r="C46" s="54"/>
      <c r="D46" s="13"/>
      <c r="E46" s="53">
        <f t="shared" si="4"/>
        <v>0</v>
      </c>
      <c r="F46" s="15"/>
      <c r="G46" s="49">
        <f t="shared" si="0"/>
        <v>0</v>
      </c>
      <c r="H46" s="130">
        <f t="shared" si="1"/>
        <v>0</v>
      </c>
      <c r="I46" s="131"/>
      <c r="J46" s="49">
        <f t="shared" si="5"/>
        <v>0</v>
      </c>
      <c r="K46" s="187">
        <f t="shared" si="6"/>
        <v>0</v>
      </c>
      <c r="L46" s="188"/>
      <c r="N46" s="49">
        <f t="shared" si="2"/>
        <v>0</v>
      </c>
      <c r="O46" s="58">
        <f t="shared" si="3"/>
        <v>0</v>
      </c>
      <c r="P46" s="48">
        <f t="shared" si="7"/>
        <v>0</v>
      </c>
      <c r="Q46" s="189">
        <f t="shared" si="8"/>
        <v>0</v>
      </c>
      <c r="R46" s="188"/>
      <c r="S46" s="63"/>
      <c r="T46" s="15"/>
      <c r="U46" s="18"/>
      <c r="V46" s="18"/>
      <c r="W46" s="140">
        <f t="shared" si="9"/>
        <v>0</v>
      </c>
      <c r="X46" s="141"/>
      <c r="Y46" s="140">
        <f t="shared" si="10"/>
        <v>0</v>
      </c>
      <c r="Z46" s="141"/>
      <c r="AA46" s="44">
        <f t="shared" si="11"/>
        <v>0</v>
      </c>
      <c r="AB46" s="44">
        <f t="shared" si="12"/>
        <v>0</v>
      </c>
      <c r="AC46" s="144">
        <f t="shared" si="13"/>
        <v>0</v>
      </c>
      <c r="AD46" s="149"/>
      <c r="AE46" s="63"/>
    </row>
    <row r="47" spans="2:31" ht="13.5" customHeight="1" x14ac:dyDescent="0.2">
      <c r="B47" s="54"/>
      <c r="C47" s="54"/>
      <c r="D47" s="13"/>
      <c r="E47" s="53">
        <f t="shared" si="4"/>
        <v>0</v>
      </c>
      <c r="F47" s="15"/>
      <c r="G47" s="49">
        <f t="shared" si="0"/>
        <v>0</v>
      </c>
      <c r="H47" s="130">
        <f t="shared" si="1"/>
        <v>0</v>
      </c>
      <c r="I47" s="131"/>
      <c r="J47" s="49">
        <f t="shared" si="5"/>
        <v>0</v>
      </c>
      <c r="K47" s="187">
        <f t="shared" si="6"/>
        <v>0</v>
      </c>
      <c r="L47" s="188"/>
      <c r="N47" s="49">
        <f t="shared" si="2"/>
        <v>0</v>
      </c>
      <c r="O47" s="58">
        <f t="shared" si="3"/>
        <v>0</v>
      </c>
      <c r="P47" s="48">
        <f t="shared" si="7"/>
        <v>0</v>
      </c>
      <c r="Q47" s="189">
        <f t="shared" si="8"/>
        <v>0</v>
      </c>
      <c r="R47" s="188"/>
      <c r="S47" s="63"/>
      <c r="T47" s="15"/>
      <c r="U47" s="18"/>
      <c r="V47" s="18"/>
      <c r="W47" s="140">
        <f t="shared" si="9"/>
        <v>0</v>
      </c>
      <c r="X47" s="141"/>
      <c r="Y47" s="140">
        <f t="shared" si="10"/>
        <v>0</v>
      </c>
      <c r="Z47" s="141"/>
      <c r="AA47" s="44">
        <f t="shared" si="11"/>
        <v>0</v>
      </c>
      <c r="AB47" s="44">
        <f t="shared" si="12"/>
        <v>0</v>
      </c>
      <c r="AC47" s="144">
        <f t="shared" si="13"/>
        <v>0</v>
      </c>
      <c r="AD47" s="149"/>
      <c r="AE47" s="63"/>
    </row>
    <row r="48" spans="2:31" ht="13.5" customHeight="1" x14ac:dyDescent="0.2">
      <c r="B48" s="54"/>
      <c r="C48" s="54"/>
      <c r="D48" s="13"/>
      <c r="E48" s="53">
        <f t="shared" si="4"/>
        <v>0</v>
      </c>
      <c r="F48" s="15"/>
      <c r="G48" s="49">
        <f t="shared" si="0"/>
        <v>0</v>
      </c>
      <c r="H48" s="130">
        <f t="shared" si="1"/>
        <v>0</v>
      </c>
      <c r="I48" s="131"/>
      <c r="J48" s="49">
        <f t="shared" si="5"/>
        <v>0</v>
      </c>
      <c r="K48" s="187">
        <f t="shared" si="6"/>
        <v>0</v>
      </c>
      <c r="L48" s="188"/>
      <c r="N48" s="49">
        <f t="shared" si="2"/>
        <v>0</v>
      </c>
      <c r="O48" s="58">
        <f t="shared" si="3"/>
        <v>0</v>
      </c>
      <c r="P48" s="48">
        <f t="shared" si="7"/>
        <v>0</v>
      </c>
      <c r="Q48" s="189">
        <f t="shared" si="8"/>
        <v>0</v>
      </c>
      <c r="R48" s="188"/>
      <c r="S48" s="63"/>
      <c r="T48" s="15"/>
      <c r="U48" s="18"/>
      <c r="V48" s="18"/>
      <c r="W48" s="140">
        <f t="shared" si="9"/>
        <v>0</v>
      </c>
      <c r="X48" s="141"/>
      <c r="Y48" s="140">
        <f t="shared" si="10"/>
        <v>0</v>
      </c>
      <c r="Z48" s="141"/>
      <c r="AA48" s="44">
        <f t="shared" si="11"/>
        <v>0</v>
      </c>
      <c r="AB48" s="44">
        <f t="shared" si="12"/>
        <v>0</v>
      </c>
      <c r="AC48" s="144">
        <f t="shared" si="13"/>
        <v>0</v>
      </c>
      <c r="AD48" s="149"/>
      <c r="AE48" s="63"/>
    </row>
    <row r="49" spans="2:31" ht="5.25" customHeight="1" thickBot="1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65"/>
      <c r="T49" s="65"/>
      <c r="U49" s="18"/>
      <c r="V49" s="65"/>
      <c r="W49" s="65"/>
      <c r="X49" s="4"/>
      <c r="Y49" s="63"/>
      <c r="Z49" s="63"/>
      <c r="AA49" s="80"/>
      <c r="AB49" s="80"/>
      <c r="AC49" s="80"/>
      <c r="AD49" s="80"/>
      <c r="AE49" s="63"/>
    </row>
    <row r="50" spans="2:31" ht="11.25" customHeight="1" thickBot="1" x14ac:dyDescent="0.25">
      <c r="B50" s="175" t="s">
        <v>17</v>
      </c>
      <c r="C50" s="176"/>
      <c r="D50" s="176"/>
      <c r="E50" s="176"/>
      <c r="F50" s="179">
        <f>SUM(K20:K48)</f>
        <v>0</v>
      </c>
      <c r="G50" s="179"/>
      <c r="H50" s="179"/>
      <c r="I50" s="180"/>
      <c r="L50" s="183" t="s">
        <v>32</v>
      </c>
      <c r="M50" s="184"/>
      <c r="N50" s="184"/>
      <c r="O50" s="184"/>
      <c r="P50" s="150">
        <f>SUM(Q20:Q48)</f>
        <v>0</v>
      </c>
      <c r="Q50" s="150"/>
      <c r="R50" s="151"/>
      <c r="S50" s="63"/>
      <c r="T50" s="65"/>
      <c r="U50" s="19"/>
      <c r="V50" s="19"/>
      <c r="W50" s="19"/>
      <c r="X50" s="4"/>
      <c r="Y50" s="63"/>
      <c r="Z50" s="63"/>
      <c r="AA50" s="80"/>
      <c r="AB50" s="80"/>
      <c r="AC50" s="80"/>
      <c r="AD50" s="80"/>
      <c r="AE50" s="63"/>
    </row>
    <row r="51" spans="2:31" ht="16.5" customHeight="1" thickTop="1" thickBot="1" x14ac:dyDescent="0.25">
      <c r="B51" s="177"/>
      <c r="C51" s="178"/>
      <c r="D51" s="178"/>
      <c r="E51" s="178"/>
      <c r="F51" s="181"/>
      <c r="G51" s="181"/>
      <c r="H51" s="181"/>
      <c r="I51" s="182"/>
      <c r="L51" s="185"/>
      <c r="M51" s="186"/>
      <c r="N51" s="186"/>
      <c r="O51" s="186"/>
      <c r="P51" s="152"/>
      <c r="Q51" s="152"/>
      <c r="R51" s="153"/>
      <c r="S51" s="63"/>
      <c r="T51" s="65"/>
      <c r="U51" s="19"/>
      <c r="V51" s="19"/>
      <c r="W51" s="19"/>
      <c r="X51" s="4"/>
      <c r="Y51" s="63"/>
      <c r="Z51" s="63"/>
      <c r="AA51" s="154" t="s">
        <v>21</v>
      </c>
      <c r="AB51" s="155"/>
      <c r="AC51" s="156">
        <f>SUM(AC20:AC48)</f>
        <v>0</v>
      </c>
      <c r="AD51" s="156"/>
      <c r="AE51" s="63"/>
    </row>
    <row r="52" spans="2:31" ht="17.25" customHeight="1" thickBot="1" x14ac:dyDescent="0.25"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3"/>
      <c r="T52" s="3"/>
      <c r="U52" s="3"/>
      <c r="V52" s="3"/>
      <c r="W52" s="3"/>
      <c r="X52" s="3"/>
      <c r="Y52" s="63"/>
      <c r="Z52" s="63"/>
      <c r="AA52" s="63"/>
      <c r="AB52" s="63"/>
      <c r="AC52" s="63"/>
      <c r="AD52" s="63"/>
      <c r="AE52" s="63"/>
    </row>
    <row r="53" spans="2:31" ht="18" customHeight="1" thickBot="1" x14ac:dyDescent="0.3">
      <c r="B53" s="157" t="s">
        <v>18</v>
      </c>
      <c r="C53" s="158"/>
      <c r="D53" s="158"/>
      <c r="E53" s="158"/>
      <c r="F53" s="158"/>
      <c r="G53" s="158"/>
      <c r="H53" s="158"/>
      <c r="I53" s="158"/>
      <c r="J53" s="158"/>
      <c r="K53" s="159"/>
      <c r="M53" s="160">
        <f>SUM(F50,P50)</f>
        <v>0</v>
      </c>
      <c r="N53" s="161"/>
      <c r="O53" s="162"/>
      <c r="Q53" s="2"/>
      <c r="S53" s="63"/>
      <c r="T53" s="63"/>
      <c r="U53" s="85"/>
      <c r="V53" s="86"/>
      <c r="W53" s="86"/>
      <c r="X53" s="3"/>
      <c r="Y53" s="63"/>
      <c r="Z53" s="63"/>
      <c r="AA53" s="63"/>
      <c r="AB53" s="63"/>
      <c r="AC53" s="63"/>
      <c r="AD53" s="63"/>
      <c r="AE53" s="63"/>
    </row>
    <row r="54" spans="2:31" ht="10.5" customHeight="1" thickBot="1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3"/>
      <c r="T54" s="3"/>
      <c r="U54" s="86"/>
      <c r="V54" s="86"/>
      <c r="W54" s="86"/>
      <c r="X54" s="3"/>
      <c r="Y54" s="63"/>
      <c r="Z54" s="63"/>
      <c r="AA54" s="63"/>
      <c r="AB54" s="63"/>
      <c r="AC54" s="63"/>
      <c r="AD54" s="63"/>
      <c r="AE54" s="63"/>
    </row>
    <row r="55" spans="2:31" ht="8.25" customHeight="1" x14ac:dyDescent="0.2">
      <c r="B55" s="163" t="s">
        <v>19</v>
      </c>
      <c r="C55" s="164"/>
      <c r="D55" s="164"/>
      <c r="E55" s="164"/>
      <c r="F55" s="164"/>
      <c r="G55" s="164"/>
      <c r="H55" s="164"/>
      <c r="I55" s="164"/>
      <c r="J55" s="164"/>
      <c r="K55" s="165"/>
      <c r="M55" s="169">
        <f>$AC$51/43560</f>
        <v>0</v>
      </c>
      <c r="N55" s="170"/>
      <c r="O55" s="171"/>
      <c r="Q55" s="2"/>
      <c r="S55" s="63"/>
      <c r="T55" s="3"/>
      <c r="U55" s="86"/>
      <c r="V55" s="86"/>
      <c r="W55" s="86"/>
      <c r="X55" s="3"/>
      <c r="Y55" s="63"/>
      <c r="Z55" s="63"/>
      <c r="AA55" s="63"/>
      <c r="AB55" s="63"/>
      <c r="AC55" s="63"/>
      <c r="AD55" s="63"/>
      <c r="AE55" s="63"/>
    </row>
    <row r="56" spans="2:31" ht="9" customHeight="1" thickBot="1" x14ac:dyDescent="0.25">
      <c r="B56" s="166"/>
      <c r="C56" s="167"/>
      <c r="D56" s="167"/>
      <c r="E56" s="167"/>
      <c r="F56" s="167"/>
      <c r="G56" s="167"/>
      <c r="H56" s="167"/>
      <c r="I56" s="167"/>
      <c r="J56" s="167"/>
      <c r="K56" s="168"/>
      <c r="M56" s="172"/>
      <c r="N56" s="173"/>
      <c r="O56" s="174"/>
      <c r="Q56" s="2"/>
      <c r="S56" s="63"/>
      <c r="T56" s="3"/>
      <c r="U56" s="86"/>
      <c r="V56" s="86"/>
      <c r="W56" s="86"/>
      <c r="X56" s="3"/>
      <c r="Y56" s="63"/>
      <c r="Z56" s="63"/>
      <c r="AA56" s="63"/>
      <c r="AB56" s="63"/>
      <c r="AC56" s="63"/>
      <c r="AD56" s="63"/>
      <c r="AE56" s="63"/>
    </row>
    <row r="57" spans="2:31" ht="10.5" customHeight="1" x14ac:dyDescent="0.2">
      <c r="B57" s="23"/>
      <c r="C57" s="23"/>
      <c r="D57" s="23"/>
      <c r="E57" s="23"/>
      <c r="F57" s="2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3"/>
      <c r="T57" s="3"/>
      <c r="U57" s="3"/>
      <c r="V57" s="3"/>
      <c r="W57" s="3"/>
      <c r="X57" s="3"/>
      <c r="Y57" s="63"/>
      <c r="Z57" s="63"/>
      <c r="AA57" s="63"/>
      <c r="AB57" s="63"/>
      <c r="AC57" s="63"/>
      <c r="AD57" s="63"/>
      <c r="AE57" s="63"/>
    </row>
    <row r="58" spans="2:31" x14ac:dyDescent="0.2"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</row>
  </sheetData>
  <sheetProtection sheet="1" objects="1" scenarios="1" selectLockedCells="1"/>
  <mergeCells count="219">
    <mergeCell ref="Y48:Z48"/>
    <mergeCell ref="W46:X46"/>
    <mergeCell ref="Y46:Z46"/>
    <mergeCell ref="W47:X47"/>
    <mergeCell ref="Y47:Z47"/>
    <mergeCell ref="W44:X44"/>
    <mergeCell ref="Y44:Z44"/>
    <mergeCell ref="M55:O56"/>
    <mergeCell ref="H29:I29"/>
    <mergeCell ref="H30:I30"/>
    <mergeCell ref="H31:I31"/>
    <mergeCell ref="H32:I32"/>
    <mergeCell ref="H33:I33"/>
    <mergeCell ref="H34:I34"/>
    <mergeCell ref="H35:I35"/>
    <mergeCell ref="K32:L32"/>
    <mergeCell ref="K31:L31"/>
    <mergeCell ref="H36:I36"/>
    <mergeCell ref="H37:I37"/>
    <mergeCell ref="Y38:Z38"/>
    <mergeCell ref="W39:X39"/>
    <mergeCell ref="Y39:Z39"/>
    <mergeCell ref="W40:X40"/>
    <mergeCell ref="Y40:Z40"/>
    <mergeCell ref="W41:X41"/>
    <mergeCell ref="Y41:Z41"/>
    <mergeCell ref="W45:X45"/>
    <mergeCell ref="Y45:Z45"/>
    <mergeCell ref="W42:X42"/>
    <mergeCell ref="Y42:Z42"/>
    <mergeCell ref="W43:X43"/>
    <mergeCell ref="Y43:Z43"/>
    <mergeCell ref="Y33:Z33"/>
    <mergeCell ref="W34:X34"/>
    <mergeCell ref="Y34:Z34"/>
    <mergeCell ref="W35:X35"/>
    <mergeCell ref="Y35:Z35"/>
    <mergeCell ref="W36:X36"/>
    <mergeCell ref="Y36:Z36"/>
    <mergeCell ref="W37:X37"/>
    <mergeCell ref="Y37:Z37"/>
    <mergeCell ref="M53:O53"/>
    <mergeCell ref="W20:X20"/>
    <mergeCell ref="Y20:Z20"/>
    <mergeCell ref="Q33:R33"/>
    <mergeCell ref="Q34:R34"/>
    <mergeCell ref="W21:X21"/>
    <mergeCell ref="Y21:Z21"/>
    <mergeCell ref="W22:X22"/>
    <mergeCell ref="Y22:Z22"/>
    <mergeCell ref="W26:X26"/>
    <mergeCell ref="Y26:Z26"/>
    <mergeCell ref="W27:X27"/>
    <mergeCell ref="Y27:Z27"/>
    <mergeCell ref="W28:X28"/>
    <mergeCell ref="Y28:Z28"/>
    <mergeCell ref="W29:X29"/>
    <mergeCell ref="Y29:Z29"/>
    <mergeCell ref="W30:X30"/>
    <mergeCell ref="Y30:Z30"/>
    <mergeCell ref="W31:X31"/>
    <mergeCell ref="Y31:Z31"/>
    <mergeCell ref="W32:X32"/>
    <mergeCell ref="Y32:Z32"/>
    <mergeCell ref="W33:X33"/>
    <mergeCell ref="P50:R51"/>
    <mergeCell ref="N12:O12"/>
    <mergeCell ref="N13:O13"/>
    <mergeCell ref="N14:O14"/>
    <mergeCell ref="K21:L21"/>
    <mergeCell ref="K22:L22"/>
    <mergeCell ref="K23:L23"/>
    <mergeCell ref="K24:L24"/>
    <mergeCell ref="W24:X24"/>
    <mergeCell ref="W25:X25"/>
    <mergeCell ref="K18:L18"/>
    <mergeCell ref="W23:X23"/>
    <mergeCell ref="W19:X19"/>
    <mergeCell ref="W38:X38"/>
    <mergeCell ref="W48:X48"/>
    <mergeCell ref="Q35:R35"/>
    <mergeCell ref="Q30:R30"/>
    <mergeCell ref="Q31:R31"/>
    <mergeCell ref="Q32:R32"/>
    <mergeCell ref="Q47:R47"/>
    <mergeCell ref="Q48:R48"/>
    <mergeCell ref="K39:L39"/>
    <mergeCell ref="K38:L38"/>
    <mergeCell ref="K37:L37"/>
    <mergeCell ref="AC45:AD45"/>
    <mergeCell ref="AC46:AD46"/>
    <mergeCell ref="AC47:AD47"/>
    <mergeCell ref="AC48:AD48"/>
    <mergeCell ref="AA51:AB51"/>
    <mergeCell ref="AC51:AD51"/>
    <mergeCell ref="V3:W3"/>
    <mergeCell ref="H18:I18"/>
    <mergeCell ref="H19:I19"/>
    <mergeCell ref="H20:I20"/>
    <mergeCell ref="V8:W8"/>
    <mergeCell ref="W18:X18"/>
    <mergeCell ref="P4:R4"/>
    <mergeCell ref="K20:L20"/>
    <mergeCell ref="K19:L19"/>
    <mergeCell ref="D4:L4"/>
    <mergeCell ref="H25:I25"/>
    <mergeCell ref="P8:R8"/>
    <mergeCell ref="E12:F12"/>
    <mergeCell ref="E13:F13"/>
    <mergeCell ref="E14:F14"/>
    <mergeCell ref="K25:L25"/>
    <mergeCell ref="H21:I21"/>
    <mergeCell ref="H26:I26"/>
    <mergeCell ref="AC36:AD36"/>
    <mergeCell ref="AC37:AD37"/>
    <mergeCell ref="AC38:AD38"/>
    <mergeCell ref="AC39:AD39"/>
    <mergeCell ref="AC40:AD40"/>
    <mergeCell ref="AC41:AD41"/>
    <mergeCell ref="AC42:AD42"/>
    <mergeCell ref="AC43:AD43"/>
    <mergeCell ref="AC44:AD44"/>
    <mergeCell ref="AC27:AD27"/>
    <mergeCell ref="AC28:AD28"/>
    <mergeCell ref="AC29:AD29"/>
    <mergeCell ref="AC30:AD30"/>
    <mergeCell ref="AC31:AD31"/>
    <mergeCell ref="AC32:AD32"/>
    <mergeCell ref="AC33:AD33"/>
    <mergeCell ref="AC34:AD34"/>
    <mergeCell ref="AC35:AD35"/>
    <mergeCell ref="B2:O2"/>
    <mergeCell ref="B16:E16"/>
    <mergeCell ref="G16:L16"/>
    <mergeCell ref="AC24:AD24"/>
    <mergeCell ref="AC25:AD25"/>
    <mergeCell ref="AC26:AD26"/>
    <mergeCell ref="Q26:R26"/>
    <mergeCell ref="H22:I22"/>
    <mergeCell ref="H23:I23"/>
    <mergeCell ref="H24:I24"/>
    <mergeCell ref="B6:C6"/>
    <mergeCell ref="B8:C8"/>
    <mergeCell ref="B10:C10"/>
    <mergeCell ref="Y24:Z24"/>
    <mergeCell ref="Y25:Z25"/>
    <mergeCell ref="Y18:Z18"/>
    <mergeCell ref="Y23:Z23"/>
    <mergeCell ref="Y19:Z19"/>
    <mergeCell ref="AC22:AD22"/>
    <mergeCell ref="AC23:AD23"/>
    <mergeCell ref="AC21:AD21"/>
    <mergeCell ref="AA16:AC16"/>
    <mergeCell ref="AC20:AD20"/>
    <mergeCell ref="P6:R6"/>
    <mergeCell ref="P7:R7"/>
    <mergeCell ref="Q18:R18"/>
    <mergeCell ref="Q19:R19"/>
    <mergeCell ref="Q20:R20"/>
    <mergeCell ref="Q29:R29"/>
    <mergeCell ref="K26:L26"/>
    <mergeCell ref="K27:L27"/>
    <mergeCell ref="K28:L28"/>
    <mergeCell ref="Q27:R27"/>
    <mergeCell ref="Q28:R28"/>
    <mergeCell ref="K29:L29"/>
    <mergeCell ref="N16:R16"/>
    <mergeCell ref="Q21:R21"/>
    <mergeCell ref="Q22:R22"/>
    <mergeCell ref="Q23:R23"/>
    <mergeCell ref="Q24:R24"/>
    <mergeCell ref="Q25:R25"/>
    <mergeCell ref="K36:L36"/>
    <mergeCell ref="K35:L35"/>
    <mergeCell ref="Q43:R43"/>
    <mergeCell ref="Q44:R44"/>
    <mergeCell ref="Q46:R46"/>
    <mergeCell ref="Q39:R39"/>
    <mergeCell ref="Q40:R40"/>
    <mergeCell ref="Q41:R41"/>
    <mergeCell ref="Q42:R42"/>
    <mergeCell ref="Q36:R36"/>
    <mergeCell ref="Q37:R37"/>
    <mergeCell ref="Q38:R38"/>
    <mergeCell ref="Q45:R45"/>
    <mergeCell ref="D6:H6"/>
    <mergeCell ref="D8:H8"/>
    <mergeCell ref="D10:E10"/>
    <mergeCell ref="B4:C4"/>
    <mergeCell ref="L50:O51"/>
    <mergeCell ref="K48:L48"/>
    <mergeCell ref="K30:L30"/>
    <mergeCell ref="K34:L34"/>
    <mergeCell ref="K33:L33"/>
    <mergeCell ref="H38:I38"/>
    <mergeCell ref="K40:L40"/>
    <mergeCell ref="K41:L41"/>
    <mergeCell ref="K42:L42"/>
    <mergeCell ref="K43:L43"/>
    <mergeCell ref="K44:L44"/>
    <mergeCell ref="K45:L45"/>
    <mergeCell ref="H27:I27"/>
    <mergeCell ref="H28:I28"/>
    <mergeCell ref="H42:I42"/>
    <mergeCell ref="H43:I43"/>
    <mergeCell ref="H44:I44"/>
    <mergeCell ref="H45:I45"/>
    <mergeCell ref="H39:I39"/>
    <mergeCell ref="H40:I40"/>
    <mergeCell ref="H41:I41"/>
    <mergeCell ref="B55:K56"/>
    <mergeCell ref="B53:K53"/>
    <mergeCell ref="B50:E51"/>
    <mergeCell ref="H46:I46"/>
    <mergeCell ref="H47:I47"/>
    <mergeCell ref="H48:I48"/>
    <mergeCell ref="F50:I51"/>
    <mergeCell ref="K47:L47"/>
    <mergeCell ref="K46:L46"/>
  </mergeCells>
  <phoneticPr fontId="29" type="noConversion"/>
  <printOptions horizontalCentered="1"/>
  <pageMargins left="0.45" right="0.3" top="0.42" bottom="0.25" header="0" footer="0.2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AP118"/>
  <sheetViews>
    <sheetView workbookViewId="0">
      <pane ySplit="1" topLeftCell="A2" activePane="bottomLeft" state="frozen"/>
      <selection pane="bottomLeft" activeCell="C9" sqref="C9"/>
    </sheetView>
  </sheetViews>
  <sheetFormatPr defaultRowHeight="12.75" x14ac:dyDescent="0.2"/>
  <cols>
    <col min="1" max="5" width="16" style="90" customWidth="1"/>
    <col min="6" max="13" width="9.140625" style="90"/>
    <col min="14" max="14" width="9.140625" style="90" customWidth="1"/>
    <col min="17" max="17" width="9.140625" style="90" customWidth="1"/>
    <col min="18" max="40" width="9.140625" style="90"/>
    <col min="41" max="41" width="24.85546875" style="90" customWidth="1"/>
    <col min="42" max="42" width="46" style="90" customWidth="1"/>
    <col min="43" max="16384" width="9.140625" style="90"/>
  </cols>
  <sheetData>
    <row r="1" spans="1:42" x14ac:dyDescent="0.2">
      <c r="A1" s="93" t="s">
        <v>45</v>
      </c>
      <c r="B1" s="93" t="s">
        <v>44</v>
      </c>
      <c r="C1" s="93" t="s">
        <v>43</v>
      </c>
      <c r="D1" s="93" t="s">
        <v>42</v>
      </c>
      <c r="E1" s="98" t="s">
        <v>46</v>
      </c>
    </row>
    <row r="2" spans="1:42" x14ac:dyDescent="0.2">
      <c r="A2" s="92"/>
      <c r="B2" s="92"/>
      <c r="C2" s="91"/>
      <c r="D2" s="91"/>
      <c r="E2" s="91"/>
    </row>
    <row r="3" spans="1:42" x14ac:dyDescent="0.2">
      <c r="A3" s="92"/>
      <c r="B3" s="92"/>
      <c r="C3" s="91"/>
      <c r="D3" s="91"/>
      <c r="E3" s="91"/>
      <c r="AO3" t="s">
        <v>47</v>
      </c>
      <c r="AP3" s="100" t="str">
        <f>AO3 &amp; "\gis_output\tables\storage.dbf"</f>
        <v>C:\workspace\test2\gis_output\tables\storage.dbf</v>
      </c>
    </row>
    <row r="4" spans="1:42" x14ac:dyDescent="0.2">
      <c r="A4" s="92"/>
      <c r="B4" s="92"/>
      <c r="C4" s="91"/>
      <c r="D4" s="91"/>
      <c r="E4" s="91"/>
      <c r="AO4"/>
      <c r="AP4" s="100" t="str">
        <f>AO$3 &amp; "\gis_output\tables\watershed.dbf"</f>
        <v>C:\workspace\test2\gis_output\tables\watershed.dbf</v>
      </c>
    </row>
    <row r="5" spans="1:42" x14ac:dyDescent="0.2">
      <c r="A5" s="92"/>
      <c r="B5" s="92"/>
      <c r="C5" s="91"/>
      <c r="D5" s="91"/>
      <c r="E5" s="91"/>
      <c r="AO5"/>
      <c r="AP5" s="100" t="str">
        <f>AO$3 &amp; "\gis_output\tables\RCNsummary.dbf"</f>
        <v>C:\workspace\test2\gis_output\tables\RCNsummary.dbf</v>
      </c>
    </row>
    <row r="6" spans="1:42" x14ac:dyDescent="0.2">
      <c r="A6" s="92"/>
      <c r="B6" s="92"/>
      <c r="C6" s="91"/>
      <c r="D6" s="91"/>
      <c r="E6" s="91"/>
      <c r="AO6"/>
      <c r="AP6" s="100" t="str">
        <f>AO$3 &amp; "\gis_output\tables\stations.dbf"</f>
        <v>C:\workspace\test2\gis_output\tables\stations.dbf</v>
      </c>
    </row>
    <row r="7" spans="1:42" x14ac:dyDescent="0.2">
      <c r="A7" s="92"/>
      <c r="B7" s="92"/>
      <c r="C7" s="91"/>
      <c r="D7" s="91"/>
      <c r="E7" s="91"/>
      <c r="AO7"/>
      <c r="AP7" s="100" t="str">
        <f>AO$3 &amp; "\gis_output\tables\stakeoutPoints.dbf"</f>
        <v>C:\workspace\test2\gis_output\tables\stakeoutPoints.dbf</v>
      </c>
    </row>
    <row r="8" spans="1:42" x14ac:dyDescent="0.2">
      <c r="A8" s="92"/>
      <c r="B8" s="92"/>
      <c r="C8" s="91"/>
      <c r="D8" s="91"/>
      <c r="E8" s="91"/>
      <c r="AO8"/>
      <c r="AP8" s="100" t="str">
        <f>AO$3 &amp; "\gis_output\tables\embankments.dbf"</f>
        <v>C:\workspace\test2\gis_output\tables\embankments.dbf</v>
      </c>
    </row>
    <row r="9" spans="1:42" x14ac:dyDescent="0.2">
      <c r="A9" s="92"/>
      <c r="B9" s="92"/>
      <c r="C9" s="91"/>
      <c r="D9" s="91"/>
      <c r="E9" s="91"/>
      <c r="AO9"/>
      <c r="AP9" s="100" t="str">
        <f>AO$3 &amp; "\gis_output\tables\stakeoutPoints.dbf"</f>
        <v>C:\workspace\test2\gis_output\tables\stakeoutPoints.dbf</v>
      </c>
    </row>
    <row r="10" spans="1:42" x14ac:dyDescent="0.2">
      <c r="A10" s="92"/>
      <c r="B10" s="92"/>
      <c r="C10" s="91"/>
      <c r="D10" s="91"/>
      <c r="E10" s="91"/>
      <c r="AP10" s="100" t="str">
        <f>AO$3 &amp; "\gis_output\tables\ridgestations.dbf"</f>
        <v>C:\workspace\test2\gis_output\tables\ridgestations.dbf</v>
      </c>
    </row>
    <row r="11" spans="1:42" x14ac:dyDescent="0.2">
      <c r="A11" s="92"/>
      <c r="B11" s="92"/>
      <c r="C11" s="91"/>
      <c r="D11" s="91"/>
      <c r="E11" s="91"/>
    </row>
    <row r="12" spans="1:42" x14ac:dyDescent="0.2">
      <c r="A12" s="92"/>
      <c r="B12" s="92"/>
      <c r="C12" s="91"/>
      <c r="D12" s="91"/>
      <c r="E12" s="91"/>
    </row>
    <row r="13" spans="1:42" x14ac:dyDescent="0.2">
      <c r="A13" s="92"/>
      <c r="B13" s="92"/>
      <c r="C13" s="91"/>
      <c r="D13" s="91"/>
      <c r="E13" s="91"/>
    </row>
    <row r="14" spans="1:42" x14ac:dyDescent="0.2">
      <c r="A14" s="92"/>
      <c r="B14" s="92"/>
      <c r="C14" s="91"/>
      <c r="D14" s="91"/>
      <c r="E14" s="91"/>
    </row>
    <row r="15" spans="1:42" x14ac:dyDescent="0.2">
      <c r="A15" s="92"/>
      <c r="B15" s="92"/>
      <c r="C15" s="91"/>
      <c r="D15" s="91"/>
      <c r="E15" s="91"/>
    </row>
    <row r="16" spans="1:42" x14ac:dyDescent="0.2">
      <c r="A16" s="92"/>
      <c r="B16" s="92"/>
      <c r="C16" s="91"/>
      <c r="D16" s="91"/>
      <c r="E16" s="91"/>
    </row>
    <row r="17" spans="1:5" x14ac:dyDescent="0.2">
      <c r="A17" s="92"/>
      <c r="B17" s="92"/>
      <c r="C17" s="91"/>
      <c r="D17" s="91"/>
      <c r="E17" s="91"/>
    </row>
    <row r="18" spans="1:5" x14ac:dyDescent="0.2">
      <c r="A18" s="92"/>
      <c r="B18" s="92"/>
      <c r="C18" s="91"/>
      <c r="D18" s="91"/>
      <c r="E18" s="91"/>
    </row>
    <row r="19" spans="1:5" x14ac:dyDescent="0.2">
      <c r="A19" s="92"/>
      <c r="B19" s="92"/>
      <c r="C19" s="91"/>
      <c r="D19" s="91"/>
      <c r="E19" s="91"/>
    </row>
    <row r="20" spans="1:5" x14ac:dyDescent="0.2">
      <c r="A20" s="92"/>
      <c r="B20" s="92"/>
      <c r="C20" s="91"/>
      <c r="D20" s="91"/>
      <c r="E20" s="91"/>
    </row>
    <row r="21" spans="1:5" x14ac:dyDescent="0.2">
      <c r="A21" s="92"/>
      <c r="B21" s="92"/>
      <c r="C21" s="91"/>
      <c r="D21" s="91"/>
      <c r="E21" s="91"/>
    </row>
    <row r="22" spans="1:5" x14ac:dyDescent="0.2">
      <c r="A22" s="92"/>
      <c r="B22" s="92"/>
      <c r="C22" s="91"/>
      <c r="D22" s="91"/>
      <c r="E22" s="91"/>
    </row>
    <row r="23" spans="1:5" x14ac:dyDescent="0.2">
      <c r="A23" s="92"/>
      <c r="B23" s="92"/>
      <c r="C23" s="91"/>
      <c r="D23" s="91"/>
      <c r="E23" s="91"/>
    </row>
    <row r="24" spans="1:5" x14ac:dyDescent="0.2">
      <c r="A24" s="92"/>
      <c r="B24" s="92"/>
      <c r="C24" s="91"/>
      <c r="D24" s="91"/>
      <c r="E24" s="91"/>
    </row>
    <row r="25" spans="1:5" x14ac:dyDescent="0.2">
      <c r="A25" s="92"/>
      <c r="B25" s="92"/>
      <c r="C25" s="91"/>
      <c r="D25" s="91"/>
      <c r="E25" s="91"/>
    </row>
    <row r="26" spans="1:5" x14ac:dyDescent="0.2">
      <c r="A26" s="92"/>
      <c r="B26" s="92"/>
      <c r="C26" s="91"/>
      <c r="D26" s="91"/>
      <c r="E26" s="91"/>
    </row>
    <row r="27" spans="1:5" x14ac:dyDescent="0.2">
      <c r="A27" s="92"/>
      <c r="B27" s="92"/>
      <c r="C27" s="91"/>
      <c r="D27" s="91"/>
      <c r="E27" s="91"/>
    </row>
    <row r="28" spans="1:5" x14ac:dyDescent="0.2">
      <c r="A28" s="92"/>
      <c r="B28" s="92"/>
      <c r="C28" s="91"/>
      <c r="D28" s="91"/>
      <c r="E28" s="91"/>
    </row>
    <row r="29" spans="1:5" x14ac:dyDescent="0.2">
      <c r="A29" s="92"/>
      <c r="B29" s="92"/>
      <c r="C29" s="91"/>
      <c r="D29" s="91"/>
      <c r="E29" s="91"/>
    </row>
    <row r="30" spans="1:5" x14ac:dyDescent="0.2">
      <c r="A30" s="92"/>
      <c r="B30" s="92"/>
      <c r="C30" s="91"/>
      <c r="D30" s="91"/>
      <c r="E30" s="91"/>
    </row>
    <row r="31" spans="1:5" x14ac:dyDescent="0.2">
      <c r="A31" s="92"/>
      <c r="B31" s="92"/>
      <c r="C31" s="91"/>
      <c r="D31" s="91"/>
      <c r="E31" s="91"/>
    </row>
    <row r="32" spans="1:5" x14ac:dyDescent="0.2">
      <c r="A32" s="92"/>
      <c r="B32" s="92"/>
      <c r="C32" s="91"/>
      <c r="D32" s="91"/>
      <c r="E32" s="91"/>
    </row>
    <row r="33" spans="1:5" x14ac:dyDescent="0.2">
      <c r="A33" s="92"/>
      <c r="B33" s="92"/>
      <c r="C33" s="91"/>
      <c r="D33" s="91"/>
      <c r="E33" s="91"/>
    </row>
    <row r="34" spans="1:5" x14ac:dyDescent="0.2">
      <c r="A34" s="92"/>
      <c r="B34" s="92"/>
      <c r="C34" s="91"/>
      <c r="D34" s="91"/>
      <c r="E34" s="91"/>
    </row>
    <row r="35" spans="1:5" x14ac:dyDescent="0.2">
      <c r="A35" s="92"/>
      <c r="B35" s="92"/>
      <c r="C35" s="91"/>
      <c r="D35" s="91"/>
      <c r="E35" s="91"/>
    </row>
    <row r="36" spans="1:5" x14ac:dyDescent="0.2">
      <c r="A36" s="92"/>
      <c r="B36" s="92"/>
      <c r="C36" s="91"/>
      <c r="D36" s="91"/>
      <c r="E36" s="91"/>
    </row>
    <row r="37" spans="1:5" x14ac:dyDescent="0.2">
      <c r="A37" s="92"/>
      <c r="B37" s="92"/>
      <c r="C37" s="91"/>
      <c r="D37" s="91"/>
      <c r="E37" s="91"/>
    </row>
    <row r="38" spans="1:5" x14ac:dyDescent="0.2">
      <c r="A38" s="92"/>
      <c r="B38" s="92"/>
      <c r="C38" s="91"/>
      <c r="D38" s="91"/>
      <c r="E38" s="91"/>
    </row>
    <row r="39" spans="1:5" x14ac:dyDescent="0.2">
      <c r="A39" s="92"/>
      <c r="B39" s="92"/>
      <c r="C39" s="91"/>
      <c r="D39" s="91"/>
      <c r="E39" s="91"/>
    </row>
    <row r="40" spans="1:5" x14ac:dyDescent="0.2">
      <c r="A40" s="92"/>
      <c r="B40" s="92"/>
      <c r="C40" s="91"/>
      <c r="D40" s="91"/>
      <c r="E40" s="91"/>
    </row>
    <row r="41" spans="1:5" x14ac:dyDescent="0.2">
      <c r="A41" s="92"/>
      <c r="B41" s="92"/>
      <c r="C41" s="91"/>
      <c r="D41" s="91"/>
      <c r="E41" s="91"/>
    </row>
    <row r="42" spans="1:5" x14ac:dyDescent="0.2">
      <c r="A42" s="92"/>
      <c r="B42" s="92"/>
      <c r="C42" s="91"/>
      <c r="D42" s="91"/>
      <c r="E42" s="91"/>
    </row>
    <row r="43" spans="1:5" x14ac:dyDescent="0.2">
      <c r="A43" s="92"/>
      <c r="B43" s="92"/>
      <c r="C43" s="91"/>
      <c r="D43" s="91"/>
      <c r="E43" s="91"/>
    </row>
    <row r="44" spans="1:5" x14ac:dyDescent="0.2">
      <c r="A44" s="92"/>
      <c r="B44" s="92"/>
      <c r="C44" s="91"/>
      <c r="D44" s="91"/>
      <c r="E44" s="91"/>
    </row>
    <row r="45" spans="1:5" x14ac:dyDescent="0.2">
      <c r="A45" s="92"/>
      <c r="B45" s="92"/>
      <c r="C45" s="91"/>
      <c r="D45" s="91"/>
      <c r="E45" s="91"/>
    </row>
    <row r="46" spans="1:5" x14ac:dyDescent="0.2">
      <c r="A46" s="92"/>
      <c r="B46" s="92"/>
      <c r="C46" s="91"/>
      <c r="D46" s="91"/>
      <c r="E46" s="91"/>
    </row>
    <row r="47" spans="1:5" x14ac:dyDescent="0.2">
      <c r="A47" s="92"/>
      <c r="B47" s="92"/>
      <c r="C47" s="91"/>
      <c r="D47" s="91"/>
      <c r="E47" s="91"/>
    </row>
    <row r="48" spans="1:5" x14ac:dyDescent="0.2">
      <c r="A48" s="92"/>
      <c r="B48" s="92"/>
      <c r="C48" s="91"/>
      <c r="D48" s="91"/>
      <c r="E48" s="91"/>
    </row>
    <row r="49" spans="1:5" x14ac:dyDescent="0.2">
      <c r="A49" s="92"/>
      <c r="B49" s="92"/>
      <c r="C49" s="91"/>
      <c r="D49" s="91"/>
      <c r="E49" s="91"/>
    </row>
    <row r="50" spans="1:5" x14ac:dyDescent="0.2">
      <c r="A50" s="92"/>
      <c r="B50" s="92"/>
      <c r="C50" s="91"/>
      <c r="D50" s="91"/>
      <c r="E50" s="91"/>
    </row>
    <row r="51" spans="1:5" x14ac:dyDescent="0.2">
      <c r="A51" s="92"/>
      <c r="B51" s="92"/>
      <c r="C51" s="91"/>
      <c r="D51" s="91"/>
      <c r="E51" s="91"/>
    </row>
    <row r="52" spans="1:5" x14ac:dyDescent="0.2">
      <c r="A52" s="92"/>
      <c r="B52" s="92"/>
      <c r="C52" s="91"/>
      <c r="D52" s="91"/>
      <c r="E52" s="91"/>
    </row>
    <row r="53" spans="1:5" x14ac:dyDescent="0.2">
      <c r="A53" s="92"/>
      <c r="B53" s="92"/>
      <c r="C53" s="91"/>
      <c r="D53" s="91"/>
      <c r="E53" s="91"/>
    </row>
    <row r="54" spans="1:5" x14ac:dyDescent="0.2">
      <c r="A54" s="92"/>
      <c r="B54" s="92"/>
      <c r="C54" s="91"/>
      <c r="D54" s="91"/>
      <c r="E54" s="91"/>
    </row>
    <row r="55" spans="1:5" x14ac:dyDescent="0.2">
      <c r="A55" s="92"/>
      <c r="B55" s="92"/>
      <c r="C55" s="91"/>
      <c r="D55" s="91"/>
      <c r="E55" s="91"/>
    </row>
    <row r="56" spans="1:5" x14ac:dyDescent="0.2">
      <c r="A56" s="92"/>
      <c r="B56" s="92"/>
      <c r="C56" s="91"/>
      <c r="D56" s="91"/>
      <c r="E56" s="91"/>
    </row>
    <row r="57" spans="1:5" x14ac:dyDescent="0.2">
      <c r="A57" s="92"/>
      <c r="B57" s="92"/>
      <c r="C57" s="91"/>
      <c r="D57" s="91"/>
      <c r="E57" s="91"/>
    </row>
    <row r="58" spans="1:5" x14ac:dyDescent="0.2">
      <c r="A58" s="92"/>
      <c r="B58" s="92"/>
      <c r="C58" s="91"/>
      <c r="D58" s="91"/>
      <c r="E58" s="91"/>
    </row>
    <row r="59" spans="1:5" x14ac:dyDescent="0.2">
      <c r="A59" s="92"/>
      <c r="B59" s="92"/>
      <c r="C59" s="91"/>
      <c r="D59" s="91"/>
      <c r="E59" s="91"/>
    </row>
    <row r="60" spans="1:5" x14ac:dyDescent="0.2">
      <c r="A60" s="92"/>
      <c r="B60" s="92"/>
      <c r="C60" s="91"/>
      <c r="D60" s="91"/>
      <c r="E60" s="91"/>
    </row>
    <row r="61" spans="1:5" x14ac:dyDescent="0.2">
      <c r="A61" s="92"/>
      <c r="B61" s="92"/>
      <c r="C61" s="91"/>
      <c r="D61" s="91"/>
      <c r="E61" s="91"/>
    </row>
    <row r="62" spans="1:5" x14ac:dyDescent="0.2">
      <c r="A62" s="92"/>
      <c r="B62" s="92"/>
      <c r="C62" s="91"/>
      <c r="D62" s="91"/>
      <c r="E62" s="91"/>
    </row>
    <row r="63" spans="1:5" x14ac:dyDescent="0.2">
      <c r="A63" s="92"/>
      <c r="B63" s="92"/>
      <c r="C63" s="91"/>
      <c r="D63" s="91"/>
      <c r="E63" s="91"/>
    </row>
    <row r="64" spans="1:5" x14ac:dyDescent="0.2">
      <c r="A64" s="92"/>
      <c r="B64" s="92"/>
      <c r="C64" s="91"/>
      <c r="D64" s="91"/>
      <c r="E64" s="91"/>
    </row>
    <row r="65" spans="1:5" x14ac:dyDescent="0.2">
      <c r="A65" s="92"/>
      <c r="B65" s="92"/>
      <c r="C65" s="91"/>
      <c r="D65" s="91"/>
      <c r="E65" s="91"/>
    </row>
    <row r="66" spans="1:5" x14ac:dyDescent="0.2">
      <c r="A66" s="92"/>
      <c r="B66" s="92"/>
      <c r="C66" s="91"/>
      <c r="D66" s="91"/>
      <c r="E66" s="91"/>
    </row>
    <row r="67" spans="1:5" x14ac:dyDescent="0.2">
      <c r="A67" s="92"/>
      <c r="B67" s="92"/>
      <c r="C67" s="91"/>
      <c r="D67" s="91"/>
      <c r="E67" s="91"/>
    </row>
    <row r="68" spans="1:5" x14ac:dyDescent="0.2">
      <c r="A68" s="92"/>
      <c r="B68" s="92"/>
      <c r="C68" s="91"/>
      <c r="D68" s="91"/>
      <c r="E68" s="91"/>
    </row>
    <row r="69" spans="1:5" x14ac:dyDescent="0.2">
      <c r="A69" s="92"/>
      <c r="B69" s="92"/>
      <c r="C69" s="91"/>
      <c r="D69" s="91"/>
      <c r="E69" s="91"/>
    </row>
    <row r="70" spans="1:5" x14ac:dyDescent="0.2">
      <c r="A70" s="92"/>
      <c r="B70" s="92"/>
      <c r="C70" s="91"/>
      <c r="D70" s="91"/>
      <c r="E70" s="91"/>
    </row>
    <row r="71" spans="1:5" x14ac:dyDescent="0.2">
      <c r="A71" s="92"/>
      <c r="B71" s="92"/>
      <c r="C71" s="91"/>
      <c r="D71" s="91"/>
      <c r="E71" s="91"/>
    </row>
    <row r="72" spans="1:5" x14ac:dyDescent="0.2">
      <c r="A72" s="92"/>
      <c r="B72" s="92"/>
      <c r="C72" s="91"/>
      <c r="D72" s="91"/>
      <c r="E72" s="91"/>
    </row>
    <row r="73" spans="1:5" x14ac:dyDescent="0.2">
      <c r="A73" s="92"/>
      <c r="B73" s="92"/>
      <c r="C73" s="91"/>
      <c r="D73" s="91"/>
      <c r="E73" s="91"/>
    </row>
    <row r="74" spans="1:5" x14ac:dyDescent="0.2">
      <c r="A74" s="92"/>
      <c r="B74" s="92"/>
      <c r="C74" s="91"/>
      <c r="D74" s="91"/>
      <c r="E74" s="91"/>
    </row>
    <row r="75" spans="1:5" x14ac:dyDescent="0.2">
      <c r="A75" s="92"/>
      <c r="B75" s="92"/>
      <c r="C75" s="91"/>
      <c r="D75" s="91"/>
      <c r="E75" s="91"/>
    </row>
    <row r="76" spans="1:5" x14ac:dyDescent="0.2">
      <c r="A76" s="92"/>
      <c r="B76" s="92"/>
      <c r="C76" s="91"/>
      <c r="D76" s="91"/>
      <c r="E76" s="91"/>
    </row>
    <row r="77" spans="1:5" x14ac:dyDescent="0.2">
      <c r="A77" s="92"/>
      <c r="B77" s="92"/>
      <c r="C77" s="91"/>
      <c r="D77" s="91"/>
      <c r="E77" s="91"/>
    </row>
    <row r="78" spans="1:5" x14ac:dyDescent="0.2">
      <c r="A78" s="92"/>
      <c r="B78" s="92"/>
      <c r="C78" s="91"/>
      <c r="D78" s="91"/>
      <c r="E78" s="91"/>
    </row>
    <row r="79" spans="1:5" x14ac:dyDescent="0.2">
      <c r="A79" s="92"/>
      <c r="B79" s="92"/>
      <c r="C79" s="91"/>
      <c r="D79" s="91"/>
      <c r="E79" s="91"/>
    </row>
    <row r="80" spans="1:5" x14ac:dyDescent="0.2">
      <c r="A80" s="92"/>
      <c r="B80" s="92"/>
      <c r="C80" s="91"/>
      <c r="D80" s="91"/>
      <c r="E80" s="91"/>
    </row>
    <row r="81" spans="1:5" x14ac:dyDescent="0.2">
      <c r="A81" s="92"/>
      <c r="B81" s="92"/>
      <c r="C81" s="91"/>
      <c r="D81" s="91"/>
      <c r="E81" s="91"/>
    </row>
    <row r="82" spans="1:5" x14ac:dyDescent="0.2">
      <c r="A82" s="92"/>
      <c r="B82" s="92"/>
      <c r="C82" s="91"/>
      <c r="D82" s="91"/>
      <c r="E82" s="91"/>
    </row>
    <row r="83" spans="1:5" x14ac:dyDescent="0.2">
      <c r="A83" s="92"/>
      <c r="B83" s="92"/>
      <c r="C83" s="91"/>
      <c r="D83" s="91"/>
      <c r="E83" s="91"/>
    </row>
    <row r="84" spans="1:5" x14ac:dyDescent="0.2">
      <c r="A84" s="92"/>
      <c r="B84" s="92"/>
      <c r="C84" s="91"/>
      <c r="D84" s="91"/>
      <c r="E84" s="91"/>
    </row>
    <row r="85" spans="1:5" x14ac:dyDescent="0.2">
      <c r="A85" s="92"/>
      <c r="B85" s="92"/>
      <c r="C85" s="91"/>
      <c r="D85" s="91"/>
      <c r="E85" s="91"/>
    </row>
    <row r="86" spans="1:5" x14ac:dyDescent="0.2">
      <c r="A86" s="92"/>
      <c r="B86" s="92"/>
      <c r="C86" s="91"/>
      <c r="D86" s="91"/>
      <c r="E86" s="91"/>
    </row>
    <row r="87" spans="1:5" x14ac:dyDescent="0.2">
      <c r="A87" s="92"/>
      <c r="B87" s="92"/>
      <c r="C87" s="91"/>
      <c r="D87" s="91"/>
      <c r="E87" s="91"/>
    </row>
    <row r="88" spans="1:5" x14ac:dyDescent="0.2">
      <c r="A88" s="92"/>
      <c r="B88" s="92"/>
      <c r="C88" s="91"/>
      <c r="D88" s="91"/>
      <c r="E88" s="91"/>
    </row>
    <row r="89" spans="1:5" x14ac:dyDescent="0.2">
      <c r="A89" s="92"/>
      <c r="B89" s="92"/>
      <c r="C89" s="91"/>
      <c r="D89" s="91"/>
      <c r="E89" s="91"/>
    </row>
    <row r="90" spans="1:5" x14ac:dyDescent="0.2">
      <c r="A90" s="92"/>
      <c r="B90" s="92"/>
      <c r="C90" s="91"/>
      <c r="D90" s="91"/>
      <c r="E90" s="91"/>
    </row>
    <row r="91" spans="1:5" x14ac:dyDescent="0.2">
      <c r="A91" s="92"/>
      <c r="B91" s="92"/>
      <c r="C91" s="91"/>
      <c r="D91" s="91"/>
      <c r="E91" s="91"/>
    </row>
    <row r="92" spans="1:5" x14ac:dyDescent="0.2">
      <c r="A92" s="92"/>
      <c r="B92" s="92"/>
      <c r="C92" s="91"/>
      <c r="D92" s="91"/>
      <c r="E92" s="91"/>
    </row>
    <row r="93" spans="1:5" x14ac:dyDescent="0.2">
      <c r="A93" s="92"/>
      <c r="B93" s="92"/>
      <c r="C93" s="91"/>
      <c r="D93" s="91"/>
      <c r="E93" s="91"/>
    </row>
    <row r="94" spans="1:5" x14ac:dyDescent="0.2">
      <c r="A94" s="92"/>
      <c r="B94" s="92"/>
      <c r="C94" s="91"/>
      <c r="D94" s="91"/>
      <c r="E94" s="91"/>
    </row>
    <row r="95" spans="1:5" x14ac:dyDescent="0.2">
      <c r="A95" s="92"/>
      <c r="B95" s="92"/>
      <c r="C95" s="91"/>
      <c r="D95" s="91"/>
      <c r="E95" s="91"/>
    </row>
    <row r="96" spans="1:5" x14ac:dyDescent="0.2">
      <c r="A96" s="92"/>
      <c r="B96" s="92"/>
      <c r="C96" s="91"/>
      <c r="D96" s="91"/>
      <c r="E96" s="91"/>
    </row>
    <row r="97" spans="1:5" x14ac:dyDescent="0.2">
      <c r="A97" s="92"/>
      <c r="B97" s="92"/>
      <c r="C97" s="91"/>
      <c r="D97" s="91"/>
      <c r="E97" s="91"/>
    </row>
    <row r="98" spans="1:5" x14ac:dyDescent="0.2">
      <c r="A98" s="92"/>
      <c r="B98" s="92"/>
      <c r="C98" s="91"/>
      <c r="D98" s="91"/>
      <c r="E98" s="91"/>
    </row>
    <row r="99" spans="1:5" x14ac:dyDescent="0.2">
      <c r="A99" s="92"/>
      <c r="B99" s="92"/>
      <c r="C99" s="91"/>
      <c r="D99" s="91"/>
      <c r="E99" s="91"/>
    </row>
    <row r="100" spans="1:5" x14ac:dyDescent="0.2">
      <c r="A100" s="92"/>
      <c r="B100" s="92"/>
      <c r="C100" s="91"/>
      <c r="D100" s="91"/>
      <c r="E100" s="91"/>
    </row>
    <row r="101" spans="1:5" x14ac:dyDescent="0.2">
      <c r="A101" s="92"/>
      <c r="B101" s="92"/>
      <c r="C101" s="91"/>
      <c r="D101" s="91"/>
      <c r="E101" s="91"/>
    </row>
    <row r="102" spans="1:5" x14ac:dyDescent="0.2">
      <c r="A102" s="92"/>
      <c r="B102" s="92"/>
      <c r="C102" s="91"/>
      <c r="D102" s="91"/>
      <c r="E102" s="91"/>
    </row>
    <row r="103" spans="1:5" x14ac:dyDescent="0.2">
      <c r="A103" s="92"/>
      <c r="B103" s="92"/>
      <c r="C103" s="91"/>
      <c r="D103" s="91"/>
      <c r="E103" s="91"/>
    </row>
    <row r="104" spans="1:5" x14ac:dyDescent="0.2">
      <c r="A104" s="92"/>
      <c r="B104" s="92"/>
      <c r="C104" s="91"/>
      <c r="D104" s="91"/>
      <c r="E104" s="91"/>
    </row>
    <row r="105" spans="1:5" x14ac:dyDescent="0.2">
      <c r="A105" s="92"/>
      <c r="B105" s="92"/>
      <c r="C105" s="91"/>
      <c r="D105" s="91"/>
      <c r="E105" s="91"/>
    </row>
    <row r="106" spans="1:5" x14ac:dyDescent="0.2">
      <c r="A106" s="92"/>
      <c r="B106" s="92"/>
      <c r="C106" s="91"/>
      <c r="D106" s="91"/>
      <c r="E106" s="91"/>
    </row>
    <row r="107" spans="1:5" x14ac:dyDescent="0.2">
      <c r="A107" s="92"/>
      <c r="B107" s="92"/>
      <c r="C107" s="91"/>
      <c r="D107" s="91"/>
      <c r="E107" s="91"/>
    </row>
    <row r="108" spans="1:5" x14ac:dyDescent="0.2">
      <c r="A108" s="92"/>
      <c r="B108" s="92"/>
      <c r="C108" s="91"/>
      <c r="D108" s="91"/>
      <c r="E108" s="91"/>
    </row>
    <row r="109" spans="1:5" x14ac:dyDescent="0.2">
      <c r="A109" s="92"/>
      <c r="B109" s="92"/>
      <c r="C109" s="91"/>
      <c r="D109" s="91"/>
      <c r="E109" s="91"/>
    </row>
    <row r="110" spans="1:5" x14ac:dyDescent="0.2">
      <c r="A110" s="92"/>
      <c r="B110" s="92"/>
      <c r="C110" s="91"/>
      <c r="D110" s="91"/>
      <c r="E110" s="91"/>
    </row>
    <row r="111" spans="1:5" x14ac:dyDescent="0.2">
      <c r="A111" s="92"/>
      <c r="B111" s="92"/>
      <c r="C111" s="91"/>
      <c r="D111" s="91"/>
      <c r="E111" s="91"/>
    </row>
    <row r="112" spans="1:5" x14ac:dyDescent="0.2">
      <c r="A112" s="92"/>
      <c r="B112" s="92"/>
      <c r="C112" s="91"/>
      <c r="D112" s="91"/>
      <c r="E112" s="91"/>
    </row>
    <row r="113" spans="1:5" x14ac:dyDescent="0.2">
      <c r="A113" s="92"/>
      <c r="B113" s="92"/>
      <c r="C113" s="91"/>
      <c r="D113" s="91"/>
      <c r="E113" s="91"/>
    </row>
    <row r="114" spans="1:5" x14ac:dyDescent="0.2">
      <c r="A114" s="92"/>
      <c r="B114" s="92"/>
      <c r="C114" s="91"/>
      <c r="D114" s="91"/>
      <c r="E114" s="91"/>
    </row>
    <row r="115" spans="1:5" x14ac:dyDescent="0.2">
      <c r="A115" s="92"/>
      <c r="B115" s="92"/>
      <c r="C115" s="91"/>
      <c r="D115" s="91"/>
      <c r="E115" s="91"/>
    </row>
    <row r="116" spans="1:5" x14ac:dyDescent="0.2">
      <c r="A116" s="92"/>
      <c r="B116" s="92"/>
      <c r="C116" s="91"/>
      <c r="D116" s="91"/>
      <c r="E116" s="91"/>
    </row>
    <row r="117" spans="1:5" x14ac:dyDescent="0.2">
      <c r="A117" s="92"/>
      <c r="B117" s="92"/>
      <c r="C117" s="91"/>
      <c r="D117" s="91"/>
      <c r="E117" s="91"/>
    </row>
    <row r="118" spans="1:5" x14ac:dyDescent="0.2">
      <c r="A118" s="92"/>
      <c r="B118" s="92"/>
      <c r="C118" s="91"/>
      <c r="D118" s="91"/>
      <c r="E118" s="91"/>
    </row>
  </sheetData>
  <sortState ref="A1:E118">
    <sortCondition ref="B1:B118"/>
  </sortState>
  <printOptions horizontalCentered="1"/>
  <pageMargins left="0.3" right="0.3" top="0.61" bottom="0.37" header="0.1" footer="0.1"/>
  <pageSetup paperSize="9" pageOrder="overThenDown" orientation="portrait" useFirstPageNumber="1" horizontalDpi="300" verticalDpi="300" r:id="rId1"/>
  <headerFooter alignWithMargins="0">
    <oddHeader>&amp;P</oddHeader>
    <oddFooter>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Module1.TileImport">
                <anchor moveWithCells="1">
                  <from>
                    <xdr:col>8</xdr:col>
                    <xdr:colOff>200025</xdr:colOff>
                    <xdr:row>7</xdr:row>
                    <xdr:rowOff>85725</xdr:rowOff>
                  </from>
                  <to>
                    <xdr:col>10</xdr:col>
                    <xdr:colOff>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path">
                <anchor moveWithCells="1">
                  <from>
                    <xdr:col>8</xdr:col>
                    <xdr:colOff>200025</xdr:colOff>
                    <xdr:row>4</xdr:row>
                    <xdr:rowOff>85725</xdr:rowOff>
                  </from>
                  <to>
                    <xdr:col>10</xdr:col>
                    <xdr:colOff>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E16"/>
  <sheetViews>
    <sheetView workbookViewId="0">
      <pane ySplit="1" topLeftCell="A2" activePane="bottomLeft" state="frozen"/>
      <selection pane="bottomLeft" activeCell="I17" sqref="I17"/>
    </sheetView>
  </sheetViews>
  <sheetFormatPr defaultRowHeight="12.75" x14ac:dyDescent="0.2"/>
  <cols>
    <col min="1" max="5" width="16" style="94" customWidth="1"/>
    <col min="6" max="16384" width="9.140625" style="94"/>
  </cols>
  <sheetData>
    <row r="1" spans="1:5" x14ac:dyDescent="0.2">
      <c r="A1" s="97" t="s">
        <v>45</v>
      </c>
      <c r="B1" s="97" t="s">
        <v>44</v>
      </c>
      <c r="C1" s="97" t="s">
        <v>43</v>
      </c>
      <c r="D1" s="97" t="s">
        <v>42</v>
      </c>
      <c r="E1" s="97" t="s">
        <v>41</v>
      </c>
    </row>
    <row r="2" spans="1:5" x14ac:dyDescent="0.2">
      <c r="A2" s="96"/>
      <c r="B2" s="96"/>
      <c r="D2" s="95"/>
      <c r="E2" s="95"/>
    </row>
    <row r="3" spans="1:5" x14ac:dyDescent="0.2">
      <c r="A3" s="96"/>
      <c r="B3" s="96"/>
      <c r="D3" s="95"/>
      <c r="E3" s="95"/>
    </row>
    <row r="4" spans="1:5" x14ac:dyDescent="0.2">
      <c r="A4" s="96"/>
      <c r="B4" s="96"/>
      <c r="D4" s="95"/>
      <c r="E4" s="95"/>
    </row>
    <row r="5" spans="1:5" x14ac:dyDescent="0.2">
      <c r="A5" s="96"/>
      <c r="B5" s="96"/>
      <c r="D5" s="95"/>
      <c r="E5" s="95"/>
    </row>
    <row r="6" spans="1:5" x14ac:dyDescent="0.2">
      <c r="A6" s="96"/>
      <c r="B6" s="96"/>
      <c r="D6" s="95"/>
      <c r="E6" s="95"/>
    </row>
    <row r="7" spans="1:5" x14ac:dyDescent="0.2">
      <c r="A7" s="96"/>
      <c r="B7" s="96"/>
      <c r="D7" s="95"/>
      <c r="E7" s="95"/>
    </row>
    <row r="8" spans="1:5" x14ac:dyDescent="0.2">
      <c r="A8" s="96"/>
      <c r="B8" s="96"/>
      <c r="D8" s="95"/>
      <c r="E8" s="95"/>
    </row>
    <row r="9" spans="1:5" x14ac:dyDescent="0.2">
      <c r="A9" s="96"/>
      <c r="B9" s="96"/>
      <c r="D9" s="95"/>
      <c r="E9" s="95"/>
    </row>
    <row r="10" spans="1:5" x14ac:dyDescent="0.2">
      <c r="A10" s="96"/>
      <c r="B10" s="96"/>
      <c r="D10" s="95"/>
      <c r="E10" s="95"/>
    </row>
    <row r="11" spans="1:5" x14ac:dyDescent="0.2">
      <c r="A11" s="96"/>
      <c r="B11" s="96"/>
      <c r="D11" s="95"/>
      <c r="E11" s="95"/>
    </row>
    <row r="12" spans="1:5" x14ac:dyDescent="0.2">
      <c r="A12" s="96"/>
      <c r="B12" s="96"/>
      <c r="C12" s="95"/>
      <c r="D12" s="95"/>
      <c r="E12" s="95"/>
    </row>
    <row r="13" spans="1:5" x14ac:dyDescent="0.2">
      <c r="A13" s="96"/>
      <c r="B13" s="96"/>
      <c r="C13" s="95"/>
      <c r="D13" s="95"/>
      <c r="E13" s="95"/>
    </row>
    <row r="14" spans="1:5" x14ac:dyDescent="0.2">
      <c r="A14" s="96"/>
      <c r="B14" s="96"/>
      <c r="C14" s="95"/>
      <c r="D14" s="95"/>
      <c r="E14" s="95"/>
    </row>
    <row r="15" spans="1:5" x14ac:dyDescent="0.2">
      <c r="A15" s="96"/>
      <c r="B15" s="96"/>
      <c r="C15" s="95"/>
      <c r="D15" s="95"/>
      <c r="E15" s="95"/>
    </row>
    <row r="16" spans="1:5" x14ac:dyDescent="0.2">
      <c r="A16" s="96"/>
      <c r="B16" s="96"/>
      <c r="C16" s="95"/>
      <c r="D16" s="95"/>
      <c r="E16" s="95"/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 r:id="rId1"/>
  <headerFooter alignWithMargins="0">
    <oddHeader>&amp;P</oddHeader>
    <oddFooter>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Module4.TileImport">
                <anchor moveWithCells="1">
                  <from>
                    <xdr:col>7</xdr:col>
                    <xdr:colOff>400050</xdr:colOff>
                    <xdr:row>8</xdr:row>
                    <xdr:rowOff>76200</xdr:rowOff>
                  </from>
                  <to>
                    <xdr:col>9</xdr:col>
                    <xdr:colOff>200025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Ratio 3</vt:lpstr>
      <vt:lpstr>Width</vt:lpstr>
      <vt:lpstr>tile profile points</vt:lpstr>
      <vt:lpstr>Ridge CL points</vt:lpstr>
      <vt:lpstr>Tile Profile</vt:lpstr>
      <vt:lpstr>Ridge CL profile</vt:lpstr>
      <vt:lpstr>'Ratio 3'!Print_Area</vt:lpstr>
      <vt:lpstr>Width!Print_Area</vt:lpstr>
    </vt:vector>
  </TitlesOfParts>
  <Company>USDA-NRCS MN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Soupir</dc:creator>
  <cp:lastModifiedBy>Patton, Matthew - NRCS, Huntington, IN</cp:lastModifiedBy>
  <cp:lastPrinted>2016-05-17T19:54:08Z</cp:lastPrinted>
  <dcterms:created xsi:type="dcterms:W3CDTF">2006-04-13T13:07:29Z</dcterms:created>
  <dcterms:modified xsi:type="dcterms:W3CDTF">2017-11-30T19:15:11Z</dcterms:modified>
</cp:coreProperties>
</file>